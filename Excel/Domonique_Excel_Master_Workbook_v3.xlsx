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a2a83f27440fa9c/Desktop/Projects New/Excel/"/>
    </mc:Choice>
  </mc:AlternateContent>
  <xr:revisionPtr revIDLastSave="0" documentId="11_5BA3D11F63BB9766B3D28F7FD853346B71356933" xr6:coauthVersionLast="47" xr6:coauthVersionMax="47" xr10:uidLastSave="{00000000-0000-0000-0000-000000000000}"/>
  <bookViews>
    <workbookView xWindow="-28920" yWindow="-120" windowWidth="29040" windowHeight="15720" activeTab="7" xr2:uid="{00000000-000D-0000-FFFF-FFFF00000000}"/>
  </bookViews>
  <sheets>
    <sheet name="Welcome" sheetId="1" r:id="rId1"/>
    <sheet name="Data_Dictionary" sheetId="2" r:id="rId2"/>
    <sheet name="Customers" sheetId="3" r:id="rId3"/>
    <sheet name="Products" sheetId="4" r:id="rId4"/>
    <sheet name="Sales_Reps" sheetId="5" r:id="rId5"/>
    <sheet name="Orders_Practice" sheetId="6" r:id="rId6"/>
    <sheet name="Orders_Solution" sheetId="7" r:id="rId7"/>
    <sheet name="XLOOKUP_Module" sheetId="8" r:id="rId8"/>
    <sheet name="SUMIFS_Module" sheetId="9" r:id="rId9"/>
    <sheet name="COUNTIFS_Module" sheetId="10" r:id="rId10"/>
    <sheet name="Conditional_Formatting" sheetId="11" r:id="rId11"/>
    <sheet name="PivotTables_Module" sheetId="12" r:id="rId12"/>
    <sheet name="Executive_Dashboard" sheetId="13" r:id="rId13"/>
    <sheet name="Interview_Journal" sheetId="14" r:id="rId14"/>
    <sheet name="Reflection" sheetId="15" r:id="rId15"/>
    <sheet name="Answer_Ke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6" l="1"/>
  <c r="B5" i="16"/>
  <c r="B4" i="16"/>
  <c r="B8" i="13"/>
  <c r="B7" i="13"/>
  <c r="B6" i="13"/>
  <c r="B5" i="13"/>
  <c r="B4" i="13"/>
  <c r="B19" i="10"/>
  <c r="G10" i="8"/>
  <c r="T183" i="7"/>
  <c r="S183" i="7"/>
  <c r="R183" i="7"/>
  <c r="Q183" i="7"/>
  <c r="P183" i="7"/>
  <c r="O183" i="7"/>
  <c r="N183" i="7"/>
  <c r="M183" i="7"/>
  <c r="L183" i="7"/>
  <c r="T182" i="7"/>
  <c r="S182" i="7"/>
  <c r="R182" i="7"/>
  <c r="Q182" i="7"/>
  <c r="P182" i="7"/>
  <c r="O182" i="7"/>
  <c r="N182" i="7"/>
  <c r="M182" i="7"/>
  <c r="L182" i="7"/>
  <c r="T181" i="7"/>
  <c r="S181" i="7"/>
  <c r="R181" i="7"/>
  <c r="Q181" i="7"/>
  <c r="P181" i="7"/>
  <c r="O181" i="7"/>
  <c r="N181" i="7"/>
  <c r="M181" i="7"/>
  <c r="L181" i="7"/>
  <c r="T180" i="7"/>
  <c r="S180" i="7"/>
  <c r="R180" i="7"/>
  <c r="Q180" i="7"/>
  <c r="P180" i="7"/>
  <c r="O180" i="7"/>
  <c r="N180" i="7"/>
  <c r="M180" i="7"/>
  <c r="L180" i="7"/>
  <c r="T179" i="7"/>
  <c r="S179" i="7"/>
  <c r="R179" i="7"/>
  <c r="Q179" i="7"/>
  <c r="P179" i="7"/>
  <c r="O179" i="7"/>
  <c r="N179" i="7"/>
  <c r="M179" i="7"/>
  <c r="L179" i="7"/>
  <c r="T178" i="7"/>
  <c r="S178" i="7"/>
  <c r="R178" i="7"/>
  <c r="Q178" i="7"/>
  <c r="P178" i="7"/>
  <c r="O178" i="7"/>
  <c r="N178" i="7"/>
  <c r="M178" i="7"/>
  <c r="L178" i="7"/>
  <c r="T177" i="7"/>
  <c r="S177" i="7"/>
  <c r="R177" i="7"/>
  <c r="Q177" i="7"/>
  <c r="P177" i="7"/>
  <c r="O177" i="7"/>
  <c r="N177" i="7"/>
  <c r="M177" i="7"/>
  <c r="L177" i="7"/>
  <c r="T176" i="7"/>
  <c r="S176" i="7"/>
  <c r="R176" i="7"/>
  <c r="Q176" i="7"/>
  <c r="P176" i="7"/>
  <c r="O176" i="7"/>
  <c r="N176" i="7"/>
  <c r="M176" i="7"/>
  <c r="L176" i="7"/>
  <c r="T175" i="7"/>
  <c r="S175" i="7"/>
  <c r="R175" i="7"/>
  <c r="Q175" i="7"/>
  <c r="P175" i="7"/>
  <c r="O175" i="7"/>
  <c r="N175" i="7"/>
  <c r="M175" i="7"/>
  <c r="L175" i="7"/>
  <c r="T174" i="7"/>
  <c r="S174" i="7"/>
  <c r="R174" i="7"/>
  <c r="Q174" i="7"/>
  <c r="P174" i="7"/>
  <c r="O174" i="7"/>
  <c r="N174" i="7"/>
  <c r="M174" i="7"/>
  <c r="L174" i="7"/>
  <c r="T173" i="7"/>
  <c r="S173" i="7"/>
  <c r="R173" i="7"/>
  <c r="Q173" i="7"/>
  <c r="P173" i="7"/>
  <c r="O173" i="7"/>
  <c r="N173" i="7"/>
  <c r="M173" i="7"/>
  <c r="L173" i="7"/>
  <c r="T172" i="7"/>
  <c r="S172" i="7"/>
  <c r="R172" i="7"/>
  <c r="Q172" i="7"/>
  <c r="P172" i="7"/>
  <c r="O172" i="7"/>
  <c r="N172" i="7"/>
  <c r="M172" i="7"/>
  <c r="L172" i="7"/>
  <c r="T171" i="7"/>
  <c r="S171" i="7"/>
  <c r="R171" i="7"/>
  <c r="Q171" i="7"/>
  <c r="P171" i="7"/>
  <c r="O171" i="7"/>
  <c r="N171" i="7"/>
  <c r="M171" i="7"/>
  <c r="L171" i="7"/>
  <c r="T170" i="7"/>
  <c r="S170" i="7"/>
  <c r="R170" i="7"/>
  <c r="Q170" i="7"/>
  <c r="P170" i="7"/>
  <c r="O170" i="7"/>
  <c r="N170" i="7"/>
  <c r="M170" i="7"/>
  <c r="L170" i="7"/>
  <c r="T169" i="7"/>
  <c r="S169" i="7"/>
  <c r="R169" i="7"/>
  <c r="Q169" i="7"/>
  <c r="P169" i="7"/>
  <c r="O169" i="7"/>
  <c r="N169" i="7"/>
  <c r="M169" i="7"/>
  <c r="L169" i="7"/>
  <c r="T168" i="7"/>
  <c r="S168" i="7"/>
  <c r="R168" i="7"/>
  <c r="Q168" i="7"/>
  <c r="P168" i="7"/>
  <c r="O168" i="7"/>
  <c r="N168" i="7"/>
  <c r="M168" i="7"/>
  <c r="L168" i="7"/>
  <c r="T167" i="7"/>
  <c r="S167" i="7"/>
  <c r="R167" i="7"/>
  <c r="Q167" i="7"/>
  <c r="P167" i="7"/>
  <c r="O167" i="7"/>
  <c r="N167" i="7"/>
  <c r="M167" i="7"/>
  <c r="L167" i="7"/>
  <c r="T166" i="7"/>
  <c r="S166" i="7"/>
  <c r="R166" i="7"/>
  <c r="Q166" i="7"/>
  <c r="P166" i="7"/>
  <c r="O166" i="7"/>
  <c r="N166" i="7"/>
  <c r="M166" i="7"/>
  <c r="L166" i="7"/>
  <c r="T165" i="7"/>
  <c r="S165" i="7"/>
  <c r="R165" i="7"/>
  <c r="Q165" i="7"/>
  <c r="P165" i="7"/>
  <c r="O165" i="7"/>
  <c r="N165" i="7"/>
  <c r="M165" i="7"/>
  <c r="L165" i="7"/>
  <c r="T164" i="7"/>
  <c r="S164" i="7"/>
  <c r="R164" i="7"/>
  <c r="Q164" i="7"/>
  <c r="P164" i="7"/>
  <c r="O164" i="7"/>
  <c r="N164" i="7"/>
  <c r="M164" i="7"/>
  <c r="L164" i="7"/>
  <c r="T163" i="7"/>
  <c r="S163" i="7"/>
  <c r="R163" i="7"/>
  <c r="Q163" i="7"/>
  <c r="P163" i="7"/>
  <c r="O163" i="7"/>
  <c r="N163" i="7"/>
  <c r="M163" i="7"/>
  <c r="L163" i="7"/>
  <c r="T162" i="7"/>
  <c r="S162" i="7"/>
  <c r="R162" i="7"/>
  <c r="Q162" i="7"/>
  <c r="P162" i="7"/>
  <c r="O162" i="7"/>
  <c r="N162" i="7"/>
  <c r="M162" i="7"/>
  <c r="L162" i="7"/>
  <c r="T161" i="7"/>
  <c r="S161" i="7"/>
  <c r="R161" i="7"/>
  <c r="Q161" i="7"/>
  <c r="P161" i="7"/>
  <c r="O161" i="7"/>
  <c r="N161" i="7"/>
  <c r="M161" i="7"/>
  <c r="L161" i="7"/>
  <c r="T160" i="7"/>
  <c r="S160" i="7"/>
  <c r="R160" i="7"/>
  <c r="Q160" i="7"/>
  <c r="P160" i="7"/>
  <c r="O160" i="7"/>
  <c r="N160" i="7"/>
  <c r="M160" i="7"/>
  <c r="L160" i="7"/>
  <c r="T159" i="7"/>
  <c r="S159" i="7"/>
  <c r="R159" i="7"/>
  <c r="Q159" i="7"/>
  <c r="P159" i="7"/>
  <c r="O159" i="7"/>
  <c r="N159" i="7"/>
  <c r="M159" i="7"/>
  <c r="L159" i="7"/>
  <c r="T158" i="7"/>
  <c r="S158" i="7"/>
  <c r="R158" i="7"/>
  <c r="Q158" i="7"/>
  <c r="P158" i="7"/>
  <c r="O158" i="7"/>
  <c r="N158" i="7"/>
  <c r="M158" i="7"/>
  <c r="L158" i="7"/>
  <c r="T157" i="7"/>
  <c r="S157" i="7"/>
  <c r="R157" i="7"/>
  <c r="Q157" i="7"/>
  <c r="P157" i="7"/>
  <c r="O157" i="7"/>
  <c r="N157" i="7"/>
  <c r="M157" i="7"/>
  <c r="L157" i="7"/>
  <c r="T156" i="7"/>
  <c r="S156" i="7"/>
  <c r="R156" i="7"/>
  <c r="Q156" i="7"/>
  <c r="P156" i="7"/>
  <c r="O156" i="7"/>
  <c r="N156" i="7"/>
  <c r="M156" i="7"/>
  <c r="L156" i="7"/>
  <c r="T155" i="7"/>
  <c r="S155" i="7"/>
  <c r="R155" i="7"/>
  <c r="Q155" i="7"/>
  <c r="P155" i="7"/>
  <c r="O155" i="7"/>
  <c r="N155" i="7"/>
  <c r="M155" i="7"/>
  <c r="L155" i="7"/>
  <c r="T154" i="7"/>
  <c r="S154" i="7"/>
  <c r="R154" i="7"/>
  <c r="Q154" i="7"/>
  <c r="P154" i="7"/>
  <c r="O154" i="7"/>
  <c r="N154" i="7"/>
  <c r="M154" i="7"/>
  <c r="L154" i="7"/>
  <c r="T153" i="7"/>
  <c r="S153" i="7"/>
  <c r="R153" i="7"/>
  <c r="Q153" i="7"/>
  <c r="P153" i="7"/>
  <c r="O153" i="7"/>
  <c r="N153" i="7"/>
  <c r="M153" i="7"/>
  <c r="L153" i="7"/>
  <c r="T152" i="7"/>
  <c r="S152" i="7"/>
  <c r="R152" i="7"/>
  <c r="Q152" i="7"/>
  <c r="P152" i="7"/>
  <c r="O152" i="7"/>
  <c r="N152" i="7"/>
  <c r="M152" i="7"/>
  <c r="L152" i="7"/>
  <c r="T151" i="7"/>
  <c r="S151" i="7"/>
  <c r="R151" i="7"/>
  <c r="Q151" i="7"/>
  <c r="P151" i="7"/>
  <c r="O151" i="7"/>
  <c r="N151" i="7"/>
  <c r="M151" i="7"/>
  <c r="L151" i="7"/>
  <c r="T150" i="7"/>
  <c r="S150" i="7"/>
  <c r="R150" i="7"/>
  <c r="Q150" i="7"/>
  <c r="P150" i="7"/>
  <c r="O150" i="7"/>
  <c r="N150" i="7"/>
  <c r="M150" i="7"/>
  <c r="L150" i="7"/>
  <c r="T149" i="7"/>
  <c r="S149" i="7"/>
  <c r="R149" i="7"/>
  <c r="Q149" i="7"/>
  <c r="P149" i="7"/>
  <c r="O149" i="7"/>
  <c r="N149" i="7"/>
  <c r="M149" i="7"/>
  <c r="L149" i="7"/>
  <c r="T148" i="7"/>
  <c r="S148" i="7"/>
  <c r="R148" i="7"/>
  <c r="Q148" i="7"/>
  <c r="P148" i="7"/>
  <c r="O148" i="7"/>
  <c r="N148" i="7"/>
  <c r="M148" i="7"/>
  <c r="L148" i="7"/>
  <c r="T147" i="7"/>
  <c r="S147" i="7"/>
  <c r="R147" i="7"/>
  <c r="Q147" i="7"/>
  <c r="P147" i="7"/>
  <c r="O147" i="7"/>
  <c r="N147" i="7"/>
  <c r="M147" i="7"/>
  <c r="L147" i="7"/>
  <c r="T146" i="7"/>
  <c r="S146" i="7"/>
  <c r="R146" i="7"/>
  <c r="Q146" i="7"/>
  <c r="P146" i="7"/>
  <c r="O146" i="7"/>
  <c r="N146" i="7"/>
  <c r="M146" i="7"/>
  <c r="L146" i="7"/>
  <c r="T145" i="7"/>
  <c r="S145" i="7"/>
  <c r="R145" i="7"/>
  <c r="Q145" i="7"/>
  <c r="P145" i="7"/>
  <c r="O145" i="7"/>
  <c r="N145" i="7"/>
  <c r="M145" i="7"/>
  <c r="L145" i="7"/>
  <c r="T144" i="7"/>
  <c r="S144" i="7"/>
  <c r="R144" i="7"/>
  <c r="Q144" i="7"/>
  <c r="P144" i="7"/>
  <c r="O144" i="7"/>
  <c r="N144" i="7"/>
  <c r="M144" i="7"/>
  <c r="L144" i="7"/>
  <c r="T143" i="7"/>
  <c r="S143" i="7"/>
  <c r="R143" i="7"/>
  <c r="Q143" i="7"/>
  <c r="P143" i="7"/>
  <c r="O143" i="7"/>
  <c r="N143" i="7"/>
  <c r="M143" i="7"/>
  <c r="L143" i="7"/>
  <c r="T142" i="7"/>
  <c r="S142" i="7"/>
  <c r="R142" i="7"/>
  <c r="Q142" i="7"/>
  <c r="P142" i="7"/>
  <c r="O142" i="7"/>
  <c r="N142" i="7"/>
  <c r="M142" i="7"/>
  <c r="L142" i="7"/>
  <c r="T141" i="7"/>
  <c r="S141" i="7"/>
  <c r="R141" i="7"/>
  <c r="Q141" i="7"/>
  <c r="P141" i="7"/>
  <c r="O141" i="7"/>
  <c r="N141" i="7"/>
  <c r="M141" i="7"/>
  <c r="L141" i="7"/>
  <c r="T140" i="7"/>
  <c r="S140" i="7"/>
  <c r="R140" i="7"/>
  <c r="Q140" i="7"/>
  <c r="P140" i="7"/>
  <c r="O140" i="7"/>
  <c r="N140" i="7"/>
  <c r="M140" i="7"/>
  <c r="L140" i="7"/>
  <c r="T139" i="7"/>
  <c r="S139" i="7"/>
  <c r="R139" i="7"/>
  <c r="Q139" i="7"/>
  <c r="P139" i="7"/>
  <c r="O139" i="7"/>
  <c r="N139" i="7"/>
  <c r="M139" i="7"/>
  <c r="L139" i="7"/>
  <c r="T138" i="7"/>
  <c r="S138" i="7"/>
  <c r="R138" i="7"/>
  <c r="Q138" i="7"/>
  <c r="P138" i="7"/>
  <c r="O138" i="7"/>
  <c r="N138" i="7"/>
  <c r="M138" i="7"/>
  <c r="L138" i="7"/>
  <c r="T137" i="7"/>
  <c r="S137" i="7"/>
  <c r="R137" i="7"/>
  <c r="Q137" i="7"/>
  <c r="P137" i="7"/>
  <c r="O137" i="7"/>
  <c r="N137" i="7"/>
  <c r="M137" i="7"/>
  <c r="L137" i="7"/>
  <c r="T136" i="7"/>
  <c r="S136" i="7"/>
  <c r="R136" i="7"/>
  <c r="Q136" i="7"/>
  <c r="P136" i="7"/>
  <c r="O136" i="7"/>
  <c r="N136" i="7"/>
  <c r="M136" i="7"/>
  <c r="L136" i="7"/>
  <c r="T135" i="7"/>
  <c r="S135" i="7"/>
  <c r="R135" i="7"/>
  <c r="Q135" i="7"/>
  <c r="P135" i="7"/>
  <c r="O135" i="7"/>
  <c r="N135" i="7"/>
  <c r="M135" i="7"/>
  <c r="L135" i="7"/>
  <c r="T134" i="7"/>
  <c r="S134" i="7"/>
  <c r="R134" i="7"/>
  <c r="Q134" i="7"/>
  <c r="P134" i="7"/>
  <c r="O134" i="7"/>
  <c r="N134" i="7"/>
  <c r="M134" i="7"/>
  <c r="L134" i="7"/>
  <c r="T133" i="7"/>
  <c r="S133" i="7"/>
  <c r="R133" i="7"/>
  <c r="Q133" i="7"/>
  <c r="P133" i="7"/>
  <c r="O133" i="7"/>
  <c r="N133" i="7"/>
  <c r="M133" i="7"/>
  <c r="L133" i="7"/>
  <c r="T132" i="7"/>
  <c r="S132" i="7"/>
  <c r="R132" i="7"/>
  <c r="Q132" i="7"/>
  <c r="P132" i="7"/>
  <c r="O132" i="7"/>
  <c r="N132" i="7"/>
  <c r="M132" i="7"/>
  <c r="L132" i="7"/>
  <c r="T131" i="7"/>
  <c r="S131" i="7"/>
  <c r="R131" i="7"/>
  <c r="Q131" i="7"/>
  <c r="P131" i="7"/>
  <c r="O131" i="7"/>
  <c r="N131" i="7"/>
  <c r="M131" i="7"/>
  <c r="L131" i="7"/>
  <c r="T130" i="7"/>
  <c r="S130" i="7"/>
  <c r="R130" i="7"/>
  <c r="Q130" i="7"/>
  <c r="P130" i="7"/>
  <c r="O130" i="7"/>
  <c r="N130" i="7"/>
  <c r="M130" i="7"/>
  <c r="L130" i="7"/>
  <c r="T129" i="7"/>
  <c r="S129" i="7"/>
  <c r="R129" i="7"/>
  <c r="Q129" i="7"/>
  <c r="P129" i="7"/>
  <c r="O129" i="7"/>
  <c r="N129" i="7"/>
  <c r="M129" i="7"/>
  <c r="L129" i="7"/>
  <c r="T128" i="7"/>
  <c r="S128" i="7"/>
  <c r="R128" i="7"/>
  <c r="Q128" i="7"/>
  <c r="P128" i="7"/>
  <c r="O128" i="7"/>
  <c r="N128" i="7"/>
  <c r="M128" i="7"/>
  <c r="L128" i="7"/>
  <c r="T127" i="7"/>
  <c r="S127" i="7"/>
  <c r="R127" i="7"/>
  <c r="Q127" i="7"/>
  <c r="P127" i="7"/>
  <c r="O127" i="7"/>
  <c r="N127" i="7"/>
  <c r="M127" i="7"/>
  <c r="L127" i="7"/>
  <c r="T126" i="7"/>
  <c r="S126" i="7"/>
  <c r="R126" i="7"/>
  <c r="Q126" i="7"/>
  <c r="P126" i="7"/>
  <c r="O126" i="7"/>
  <c r="N126" i="7"/>
  <c r="M126" i="7"/>
  <c r="L126" i="7"/>
  <c r="T125" i="7"/>
  <c r="S125" i="7"/>
  <c r="R125" i="7"/>
  <c r="Q125" i="7"/>
  <c r="P125" i="7"/>
  <c r="O125" i="7"/>
  <c r="N125" i="7"/>
  <c r="M125" i="7"/>
  <c r="L125" i="7"/>
  <c r="T124" i="7"/>
  <c r="S124" i="7"/>
  <c r="R124" i="7"/>
  <c r="Q124" i="7"/>
  <c r="P124" i="7"/>
  <c r="O124" i="7"/>
  <c r="N124" i="7"/>
  <c r="M124" i="7"/>
  <c r="L124" i="7"/>
  <c r="T123" i="7"/>
  <c r="S123" i="7"/>
  <c r="R123" i="7"/>
  <c r="Q123" i="7"/>
  <c r="P123" i="7"/>
  <c r="O123" i="7"/>
  <c r="N123" i="7"/>
  <c r="M123" i="7"/>
  <c r="L123" i="7"/>
  <c r="T122" i="7"/>
  <c r="S122" i="7"/>
  <c r="R122" i="7"/>
  <c r="Q122" i="7"/>
  <c r="P122" i="7"/>
  <c r="O122" i="7"/>
  <c r="N122" i="7"/>
  <c r="M122" i="7"/>
  <c r="L122" i="7"/>
  <c r="T121" i="7"/>
  <c r="S121" i="7"/>
  <c r="R121" i="7"/>
  <c r="Q121" i="7"/>
  <c r="P121" i="7"/>
  <c r="O121" i="7"/>
  <c r="N121" i="7"/>
  <c r="M121" i="7"/>
  <c r="L121" i="7"/>
  <c r="T120" i="7"/>
  <c r="S120" i="7"/>
  <c r="R120" i="7"/>
  <c r="Q120" i="7"/>
  <c r="P120" i="7"/>
  <c r="O120" i="7"/>
  <c r="N120" i="7"/>
  <c r="M120" i="7"/>
  <c r="L120" i="7"/>
  <c r="T119" i="7"/>
  <c r="S119" i="7"/>
  <c r="R119" i="7"/>
  <c r="Q119" i="7"/>
  <c r="P119" i="7"/>
  <c r="O119" i="7"/>
  <c r="N119" i="7"/>
  <c r="M119" i="7"/>
  <c r="L119" i="7"/>
  <c r="T118" i="7"/>
  <c r="S118" i="7"/>
  <c r="R118" i="7"/>
  <c r="Q118" i="7"/>
  <c r="P118" i="7"/>
  <c r="O118" i="7"/>
  <c r="N118" i="7"/>
  <c r="M118" i="7"/>
  <c r="L118" i="7"/>
  <c r="T117" i="7"/>
  <c r="S117" i="7"/>
  <c r="R117" i="7"/>
  <c r="Q117" i="7"/>
  <c r="P117" i="7"/>
  <c r="O117" i="7"/>
  <c r="N117" i="7"/>
  <c r="M117" i="7"/>
  <c r="L117" i="7"/>
  <c r="T116" i="7"/>
  <c r="S116" i="7"/>
  <c r="R116" i="7"/>
  <c r="Q116" i="7"/>
  <c r="P116" i="7"/>
  <c r="O116" i="7"/>
  <c r="N116" i="7"/>
  <c r="M116" i="7"/>
  <c r="L116" i="7"/>
  <c r="T115" i="7"/>
  <c r="S115" i="7"/>
  <c r="R115" i="7"/>
  <c r="Q115" i="7"/>
  <c r="P115" i="7"/>
  <c r="O115" i="7"/>
  <c r="N115" i="7"/>
  <c r="M115" i="7"/>
  <c r="L115" i="7"/>
  <c r="T114" i="7"/>
  <c r="S114" i="7"/>
  <c r="R114" i="7"/>
  <c r="Q114" i="7"/>
  <c r="P114" i="7"/>
  <c r="O114" i="7"/>
  <c r="N114" i="7"/>
  <c r="M114" i="7"/>
  <c r="L114" i="7"/>
  <c r="T113" i="7"/>
  <c r="S113" i="7"/>
  <c r="R113" i="7"/>
  <c r="Q113" i="7"/>
  <c r="P113" i="7"/>
  <c r="O113" i="7"/>
  <c r="N113" i="7"/>
  <c r="M113" i="7"/>
  <c r="L113" i="7"/>
  <c r="T112" i="7"/>
  <c r="S112" i="7"/>
  <c r="R112" i="7"/>
  <c r="Q112" i="7"/>
  <c r="P112" i="7"/>
  <c r="O112" i="7"/>
  <c r="N112" i="7"/>
  <c r="M112" i="7"/>
  <c r="L112" i="7"/>
  <c r="T111" i="7"/>
  <c r="S111" i="7"/>
  <c r="R111" i="7"/>
  <c r="Q111" i="7"/>
  <c r="P111" i="7"/>
  <c r="O111" i="7"/>
  <c r="N111" i="7"/>
  <c r="M111" i="7"/>
  <c r="L111" i="7"/>
  <c r="T110" i="7"/>
  <c r="S110" i="7"/>
  <c r="R110" i="7"/>
  <c r="Q110" i="7"/>
  <c r="P110" i="7"/>
  <c r="O110" i="7"/>
  <c r="N110" i="7"/>
  <c r="M110" i="7"/>
  <c r="L110" i="7"/>
  <c r="T109" i="7"/>
  <c r="S109" i="7"/>
  <c r="R109" i="7"/>
  <c r="Q109" i="7"/>
  <c r="P109" i="7"/>
  <c r="O109" i="7"/>
  <c r="N109" i="7"/>
  <c r="M109" i="7"/>
  <c r="L109" i="7"/>
  <c r="T108" i="7"/>
  <c r="S108" i="7"/>
  <c r="R108" i="7"/>
  <c r="Q108" i="7"/>
  <c r="P108" i="7"/>
  <c r="O108" i="7"/>
  <c r="N108" i="7"/>
  <c r="M108" i="7"/>
  <c r="L108" i="7"/>
  <c r="T107" i="7"/>
  <c r="S107" i="7"/>
  <c r="R107" i="7"/>
  <c r="Q107" i="7"/>
  <c r="P107" i="7"/>
  <c r="O107" i="7"/>
  <c r="N107" i="7"/>
  <c r="M107" i="7"/>
  <c r="L107" i="7"/>
  <c r="T106" i="7"/>
  <c r="S106" i="7"/>
  <c r="R106" i="7"/>
  <c r="Q106" i="7"/>
  <c r="P106" i="7"/>
  <c r="O106" i="7"/>
  <c r="N106" i="7"/>
  <c r="M106" i="7"/>
  <c r="L106" i="7"/>
  <c r="T105" i="7"/>
  <c r="S105" i="7"/>
  <c r="R105" i="7"/>
  <c r="Q105" i="7"/>
  <c r="P105" i="7"/>
  <c r="O105" i="7"/>
  <c r="N105" i="7"/>
  <c r="M105" i="7"/>
  <c r="L105" i="7"/>
  <c r="T104" i="7"/>
  <c r="S104" i="7"/>
  <c r="R104" i="7"/>
  <c r="Q104" i="7"/>
  <c r="P104" i="7"/>
  <c r="O104" i="7"/>
  <c r="N104" i="7"/>
  <c r="M104" i="7"/>
  <c r="L104" i="7"/>
  <c r="T103" i="7"/>
  <c r="S103" i="7"/>
  <c r="R103" i="7"/>
  <c r="Q103" i="7"/>
  <c r="P103" i="7"/>
  <c r="O103" i="7"/>
  <c r="N103" i="7"/>
  <c r="M103" i="7"/>
  <c r="L103" i="7"/>
  <c r="T102" i="7"/>
  <c r="S102" i="7"/>
  <c r="R102" i="7"/>
  <c r="Q102" i="7"/>
  <c r="P102" i="7"/>
  <c r="O102" i="7"/>
  <c r="N102" i="7"/>
  <c r="M102" i="7"/>
  <c r="L102" i="7"/>
  <c r="T101" i="7"/>
  <c r="S101" i="7"/>
  <c r="R101" i="7"/>
  <c r="Q101" i="7"/>
  <c r="P101" i="7"/>
  <c r="O101" i="7"/>
  <c r="N101" i="7"/>
  <c r="M101" i="7"/>
  <c r="L101" i="7"/>
  <c r="T100" i="7"/>
  <c r="S100" i="7"/>
  <c r="R100" i="7"/>
  <c r="Q100" i="7"/>
  <c r="P100" i="7"/>
  <c r="O100" i="7"/>
  <c r="N100" i="7"/>
  <c r="M100" i="7"/>
  <c r="L100" i="7"/>
  <c r="T99" i="7"/>
  <c r="S99" i="7"/>
  <c r="R99" i="7"/>
  <c r="Q99" i="7"/>
  <c r="P99" i="7"/>
  <c r="O99" i="7"/>
  <c r="N99" i="7"/>
  <c r="M99" i="7"/>
  <c r="L99" i="7"/>
  <c r="T98" i="7"/>
  <c r="S98" i="7"/>
  <c r="R98" i="7"/>
  <c r="Q98" i="7"/>
  <c r="P98" i="7"/>
  <c r="O98" i="7"/>
  <c r="N98" i="7"/>
  <c r="M98" i="7"/>
  <c r="L98" i="7"/>
  <c r="T97" i="7"/>
  <c r="S97" i="7"/>
  <c r="R97" i="7"/>
  <c r="Q97" i="7"/>
  <c r="P97" i="7"/>
  <c r="O97" i="7"/>
  <c r="N97" i="7"/>
  <c r="M97" i="7"/>
  <c r="L97" i="7"/>
  <c r="T96" i="7"/>
  <c r="S96" i="7"/>
  <c r="R96" i="7"/>
  <c r="Q96" i="7"/>
  <c r="P96" i="7"/>
  <c r="O96" i="7"/>
  <c r="N96" i="7"/>
  <c r="M96" i="7"/>
  <c r="L96" i="7"/>
  <c r="T95" i="7"/>
  <c r="S95" i="7"/>
  <c r="R95" i="7"/>
  <c r="Q95" i="7"/>
  <c r="P95" i="7"/>
  <c r="O95" i="7"/>
  <c r="N95" i="7"/>
  <c r="M95" i="7"/>
  <c r="L95" i="7"/>
  <c r="T94" i="7"/>
  <c r="S94" i="7"/>
  <c r="R94" i="7"/>
  <c r="Q94" i="7"/>
  <c r="P94" i="7"/>
  <c r="O94" i="7"/>
  <c r="N94" i="7"/>
  <c r="M94" i="7"/>
  <c r="L94" i="7"/>
  <c r="T93" i="7"/>
  <c r="S93" i="7"/>
  <c r="R93" i="7"/>
  <c r="Q93" i="7"/>
  <c r="P93" i="7"/>
  <c r="O93" i="7"/>
  <c r="N93" i="7"/>
  <c r="M93" i="7"/>
  <c r="L93" i="7"/>
  <c r="T92" i="7"/>
  <c r="S92" i="7"/>
  <c r="R92" i="7"/>
  <c r="Q92" i="7"/>
  <c r="P92" i="7"/>
  <c r="O92" i="7"/>
  <c r="N92" i="7"/>
  <c r="M92" i="7"/>
  <c r="L92" i="7"/>
  <c r="T91" i="7"/>
  <c r="S91" i="7"/>
  <c r="R91" i="7"/>
  <c r="Q91" i="7"/>
  <c r="P91" i="7"/>
  <c r="O91" i="7"/>
  <c r="N91" i="7"/>
  <c r="M91" i="7"/>
  <c r="L91" i="7"/>
  <c r="T90" i="7"/>
  <c r="S90" i="7"/>
  <c r="R90" i="7"/>
  <c r="Q90" i="7"/>
  <c r="P90" i="7"/>
  <c r="O90" i="7"/>
  <c r="N90" i="7"/>
  <c r="M90" i="7"/>
  <c r="L90" i="7"/>
  <c r="T89" i="7"/>
  <c r="S89" i="7"/>
  <c r="R89" i="7"/>
  <c r="Q89" i="7"/>
  <c r="P89" i="7"/>
  <c r="O89" i="7"/>
  <c r="N89" i="7"/>
  <c r="M89" i="7"/>
  <c r="L89" i="7"/>
  <c r="T88" i="7"/>
  <c r="S88" i="7"/>
  <c r="R88" i="7"/>
  <c r="Q88" i="7"/>
  <c r="P88" i="7"/>
  <c r="O88" i="7"/>
  <c r="N88" i="7"/>
  <c r="M88" i="7"/>
  <c r="L88" i="7"/>
  <c r="T87" i="7"/>
  <c r="S87" i="7"/>
  <c r="R87" i="7"/>
  <c r="Q87" i="7"/>
  <c r="P87" i="7"/>
  <c r="O87" i="7"/>
  <c r="N87" i="7"/>
  <c r="M87" i="7"/>
  <c r="L87" i="7"/>
  <c r="T86" i="7"/>
  <c r="S86" i="7"/>
  <c r="R86" i="7"/>
  <c r="Q86" i="7"/>
  <c r="P86" i="7"/>
  <c r="O86" i="7"/>
  <c r="N86" i="7"/>
  <c r="M86" i="7"/>
  <c r="L86" i="7"/>
  <c r="T85" i="7"/>
  <c r="S85" i="7"/>
  <c r="R85" i="7"/>
  <c r="Q85" i="7"/>
  <c r="P85" i="7"/>
  <c r="O85" i="7"/>
  <c r="N85" i="7"/>
  <c r="M85" i="7"/>
  <c r="L85" i="7"/>
  <c r="T84" i="7"/>
  <c r="S84" i="7"/>
  <c r="R84" i="7"/>
  <c r="Q84" i="7"/>
  <c r="P84" i="7"/>
  <c r="O84" i="7"/>
  <c r="N84" i="7"/>
  <c r="M84" i="7"/>
  <c r="L84" i="7"/>
  <c r="T83" i="7"/>
  <c r="S83" i="7"/>
  <c r="R83" i="7"/>
  <c r="Q83" i="7"/>
  <c r="P83" i="7"/>
  <c r="O83" i="7"/>
  <c r="N83" i="7"/>
  <c r="M83" i="7"/>
  <c r="L83" i="7"/>
  <c r="T82" i="7"/>
  <c r="S82" i="7"/>
  <c r="R82" i="7"/>
  <c r="Q82" i="7"/>
  <c r="P82" i="7"/>
  <c r="O82" i="7"/>
  <c r="N82" i="7"/>
  <c r="M82" i="7"/>
  <c r="L82" i="7"/>
  <c r="T81" i="7"/>
  <c r="S81" i="7"/>
  <c r="R81" i="7"/>
  <c r="Q81" i="7"/>
  <c r="P81" i="7"/>
  <c r="O81" i="7"/>
  <c r="N81" i="7"/>
  <c r="M81" i="7"/>
  <c r="L81" i="7"/>
  <c r="T80" i="7"/>
  <c r="S80" i="7"/>
  <c r="R80" i="7"/>
  <c r="Q80" i="7"/>
  <c r="P80" i="7"/>
  <c r="O80" i="7"/>
  <c r="N80" i="7"/>
  <c r="M80" i="7"/>
  <c r="L80" i="7"/>
  <c r="T79" i="7"/>
  <c r="S79" i="7"/>
  <c r="R79" i="7"/>
  <c r="Q79" i="7"/>
  <c r="P79" i="7"/>
  <c r="O79" i="7"/>
  <c r="N79" i="7"/>
  <c r="M79" i="7"/>
  <c r="L79" i="7"/>
  <c r="T78" i="7"/>
  <c r="S78" i="7"/>
  <c r="R78" i="7"/>
  <c r="Q78" i="7"/>
  <c r="P78" i="7"/>
  <c r="O78" i="7"/>
  <c r="N78" i="7"/>
  <c r="M78" i="7"/>
  <c r="L78" i="7"/>
  <c r="T77" i="7"/>
  <c r="S77" i="7"/>
  <c r="R77" i="7"/>
  <c r="Q77" i="7"/>
  <c r="P77" i="7"/>
  <c r="O77" i="7"/>
  <c r="N77" i="7"/>
  <c r="M77" i="7"/>
  <c r="L77" i="7"/>
  <c r="T76" i="7"/>
  <c r="S76" i="7"/>
  <c r="R76" i="7"/>
  <c r="Q76" i="7"/>
  <c r="P76" i="7"/>
  <c r="O76" i="7"/>
  <c r="N76" i="7"/>
  <c r="M76" i="7"/>
  <c r="L76" i="7"/>
  <c r="T75" i="7"/>
  <c r="S75" i="7"/>
  <c r="R75" i="7"/>
  <c r="Q75" i="7"/>
  <c r="P75" i="7"/>
  <c r="O75" i="7"/>
  <c r="N75" i="7"/>
  <c r="M75" i="7"/>
  <c r="L75" i="7"/>
  <c r="T74" i="7"/>
  <c r="S74" i="7"/>
  <c r="R74" i="7"/>
  <c r="Q74" i="7"/>
  <c r="P74" i="7"/>
  <c r="O74" i="7"/>
  <c r="N74" i="7"/>
  <c r="M74" i="7"/>
  <c r="L74" i="7"/>
  <c r="T73" i="7"/>
  <c r="S73" i="7"/>
  <c r="R73" i="7"/>
  <c r="Q73" i="7"/>
  <c r="P73" i="7"/>
  <c r="O73" i="7"/>
  <c r="N73" i="7"/>
  <c r="M73" i="7"/>
  <c r="L73" i="7"/>
  <c r="T72" i="7"/>
  <c r="S72" i="7"/>
  <c r="R72" i="7"/>
  <c r="Q72" i="7"/>
  <c r="P72" i="7"/>
  <c r="O72" i="7"/>
  <c r="N72" i="7"/>
  <c r="M72" i="7"/>
  <c r="L72" i="7"/>
  <c r="T71" i="7"/>
  <c r="S71" i="7"/>
  <c r="R71" i="7"/>
  <c r="Q71" i="7"/>
  <c r="P71" i="7"/>
  <c r="O71" i="7"/>
  <c r="N71" i="7"/>
  <c r="M71" i="7"/>
  <c r="L71" i="7"/>
  <c r="T70" i="7"/>
  <c r="S70" i="7"/>
  <c r="R70" i="7"/>
  <c r="Q70" i="7"/>
  <c r="P70" i="7"/>
  <c r="O70" i="7"/>
  <c r="N70" i="7"/>
  <c r="M70" i="7"/>
  <c r="L70" i="7"/>
  <c r="T69" i="7"/>
  <c r="S69" i="7"/>
  <c r="R69" i="7"/>
  <c r="Q69" i="7"/>
  <c r="P69" i="7"/>
  <c r="O69" i="7"/>
  <c r="N69" i="7"/>
  <c r="M69" i="7"/>
  <c r="L69" i="7"/>
  <c r="T68" i="7"/>
  <c r="S68" i="7"/>
  <c r="R68" i="7"/>
  <c r="Q68" i="7"/>
  <c r="P68" i="7"/>
  <c r="O68" i="7"/>
  <c r="N68" i="7"/>
  <c r="M68" i="7"/>
  <c r="L68" i="7"/>
  <c r="T67" i="7"/>
  <c r="S67" i="7"/>
  <c r="R67" i="7"/>
  <c r="Q67" i="7"/>
  <c r="P67" i="7"/>
  <c r="O67" i="7"/>
  <c r="N67" i="7"/>
  <c r="M67" i="7"/>
  <c r="L67" i="7"/>
  <c r="T66" i="7"/>
  <c r="S66" i="7"/>
  <c r="R66" i="7"/>
  <c r="Q66" i="7"/>
  <c r="P66" i="7"/>
  <c r="O66" i="7"/>
  <c r="N66" i="7"/>
  <c r="M66" i="7"/>
  <c r="L66" i="7"/>
  <c r="T65" i="7"/>
  <c r="S65" i="7"/>
  <c r="R65" i="7"/>
  <c r="Q65" i="7"/>
  <c r="P65" i="7"/>
  <c r="O65" i="7"/>
  <c r="N65" i="7"/>
  <c r="M65" i="7"/>
  <c r="L65" i="7"/>
  <c r="T64" i="7"/>
  <c r="S64" i="7"/>
  <c r="R64" i="7"/>
  <c r="Q64" i="7"/>
  <c r="P64" i="7"/>
  <c r="O64" i="7"/>
  <c r="N64" i="7"/>
  <c r="M64" i="7"/>
  <c r="L64" i="7"/>
  <c r="T63" i="7"/>
  <c r="S63" i="7"/>
  <c r="R63" i="7"/>
  <c r="Q63" i="7"/>
  <c r="P63" i="7"/>
  <c r="O63" i="7"/>
  <c r="N63" i="7"/>
  <c r="M63" i="7"/>
  <c r="L63" i="7"/>
  <c r="T62" i="7"/>
  <c r="S62" i="7"/>
  <c r="R62" i="7"/>
  <c r="Q62" i="7"/>
  <c r="P62" i="7"/>
  <c r="O62" i="7"/>
  <c r="N62" i="7"/>
  <c r="M62" i="7"/>
  <c r="L62" i="7"/>
  <c r="T61" i="7"/>
  <c r="S61" i="7"/>
  <c r="R61" i="7"/>
  <c r="Q61" i="7"/>
  <c r="P61" i="7"/>
  <c r="O61" i="7"/>
  <c r="N61" i="7"/>
  <c r="M61" i="7"/>
  <c r="L61" i="7"/>
  <c r="T60" i="7"/>
  <c r="S60" i="7"/>
  <c r="R60" i="7"/>
  <c r="Q60" i="7"/>
  <c r="P60" i="7"/>
  <c r="O60" i="7"/>
  <c r="N60" i="7"/>
  <c r="M60" i="7"/>
  <c r="L60" i="7"/>
  <c r="T59" i="7"/>
  <c r="S59" i="7"/>
  <c r="R59" i="7"/>
  <c r="Q59" i="7"/>
  <c r="P59" i="7"/>
  <c r="O59" i="7"/>
  <c r="N59" i="7"/>
  <c r="M59" i="7"/>
  <c r="L59" i="7"/>
  <c r="T58" i="7"/>
  <c r="S58" i="7"/>
  <c r="R58" i="7"/>
  <c r="Q58" i="7"/>
  <c r="P58" i="7"/>
  <c r="O58" i="7"/>
  <c r="N58" i="7"/>
  <c r="M58" i="7"/>
  <c r="L58" i="7"/>
  <c r="T57" i="7"/>
  <c r="S57" i="7"/>
  <c r="R57" i="7"/>
  <c r="Q57" i="7"/>
  <c r="P57" i="7"/>
  <c r="O57" i="7"/>
  <c r="N57" i="7"/>
  <c r="M57" i="7"/>
  <c r="L57" i="7"/>
  <c r="T56" i="7"/>
  <c r="S56" i="7"/>
  <c r="R56" i="7"/>
  <c r="Q56" i="7"/>
  <c r="P56" i="7"/>
  <c r="O56" i="7"/>
  <c r="N56" i="7"/>
  <c r="M56" i="7"/>
  <c r="L56" i="7"/>
  <c r="T55" i="7"/>
  <c r="S55" i="7"/>
  <c r="R55" i="7"/>
  <c r="Q55" i="7"/>
  <c r="P55" i="7"/>
  <c r="O55" i="7"/>
  <c r="N55" i="7"/>
  <c r="M55" i="7"/>
  <c r="L55" i="7"/>
  <c r="T54" i="7"/>
  <c r="S54" i="7"/>
  <c r="R54" i="7"/>
  <c r="Q54" i="7"/>
  <c r="P54" i="7"/>
  <c r="O54" i="7"/>
  <c r="N54" i="7"/>
  <c r="M54" i="7"/>
  <c r="L54" i="7"/>
  <c r="T53" i="7"/>
  <c r="S53" i="7"/>
  <c r="R53" i="7"/>
  <c r="Q53" i="7"/>
  <c r="P53" i="7"/>
  <c r="O53" i="7"/>
  <c r="N53" i="7"/>
  <c r="M53" i="7"/>
  <c r="L53" i="7"/>
  <c r="T52" i="7"/>
  <c r="S52" i="7"/>
  <c r="R52" i="7"/>
  <c r="Q52" i="7"/>
  <c r="P52" i="7"/>
  <c r="O52" i="7"/>
  <c r="N52" i="7"/>
  <c r="M52" i="7"/>
  <c r="L52" i="7"/>
  <c r="T51" i="7"/>
  <c r="S51" i="7"/>
  <c r="R51" i="7"/>
  <c r="Q51" i="7"/>
  <c r="P51" i="7"/>
  <c r="O51" i="7"/>
  <c r="N51" i="7"/>
  <c r="M51" i="7"/>
  <c r="L51" i="7"/>
  <c r="T50" i="7"/>
  <c r="S50" i="7"/>
  <c r="R50" i="7"/>
  <c r="Q50" i="7"/>
  <c r="P50" i="7"/>
  <c r="O50" i="7"/>
  <c r="N50" i="7"/>
  <c r="M50" i="7"/>
  <c r="L50" i="7"/>
  <c r="T49" i="7"/>
  <c r="S49" i="7"/>
  <c r="R49" i="7"/>
  <c r="Q49" i="7"/>
  <c r="P49" i="7"/>
  <c r="O49" i="7"/>
  <c r="N49" i="7"/>
  <c r="M49" i="7"/>
  <c r="L49" i="7"/>
  <c r="T48" i="7"/>
  <c r="S48" i="7"/>
  <c r="R48" i="7"/>
  <c r="Q48" i="7"/>
  <c r="P48" i="7"/>
  <c r="O48" i="7"/>
  <c r="N48" i="7"/>
  <c r="M48" i="7"/>
  <c r="L48" i="7"/>
  <c r="T47" i="7"/>
  <c r="S47" i="7"/>
  <c r="R47" i="7"/>
  <c r="Q47" i="7"/>
  <c r="P47" i="7"/>
  <c r="O47" i="7"/>
  <c r="N47" i="7"/>
  <c r="M47" i="7"/>
  <c r="L47" i="7"/>
  <c r="T46" i="7"/>
  <c r="S46" i="7"/>
  <c r="R46" i="7"/>
  <c r="Q46" i="7"/>
  <c r="P46" i="7"/>
  <c r="O46" i="7"/>
  <c r="N46" i="7"/>
  <c r="M46" i="7"/>
  <c r="L46" i="7"/>
  <c r="T45" i="7"/>
  <c r="S45" i="7"/>
  <c r="R45" i="7"/>
  <c r="Q45" i="7"/>
  <c r="P45" i="7"/>
  <c r="O45" i="7"/>
  <c r="N45" i="7"/>
  <c r="M45" i="7"/>
  <c r="L45" i="7"/>
  <c r="T44" i="7"/>
  <c r="S44" i="7"/>
  <c r="R44" i="7"/>
  <c r="Q44" i="7"/>
  <c r="P44" i="7"/>
  <c r="O44" i="7"/>
  <c r="N44" i="7"/>
  <c r="M44" i="7"/>
  <c r="L44" i="7"/>
  <c r="T43" i="7"/>
  <c r="S43" i="7"/>
  <c r="R43" i="7"/>
  <c r="Q43" i="7"/>
  <c r="P43" i="7"/>
  <c r="O43" i="7"/>
  <c r="N43" i="7"/>
  <c r="M43" i="7"/>
  <c r="L43" i="7"/>
  <c r="T42" i="7"/>
  <c r="S42" i="7"/>
  <c r="R42" i="7"/>
  <c r="Q42" i="7"/>
  <c r="P42" i="7"/>
  <c r="O42" i="7"/>
  <c r="N42" i="7"/>
  <c r="M42" i="7"/>
  <c r="L42" i="7"/>
  <c r="T41" i="7"/>
  <c r="S41" i="7"/>
  <c r="R41" i="7"/>
  <c r="Q41" i="7"/>
  <c r="P41" i="7"/>
  <c r="O41" i="7"/>
  <c r="N41" i="7"/>
  <c r="M41" i="7"/>
  <c r="L41" i="7"/>
  <c r="T40" i="7"/>
  <c r="S40" i="7"/>
  <c r="R40" i="7"/>
  <c r="Q40" i="7"/>
  <c r="P40" i="7"/>
  <c r="O40" i="7"/>
  <c r="N40" i="7"/>
  <c r="M40" i="7"/>
  <c r="L40" i="7"/>
  <c r="T39" i="7"/>
  <c r="S39" i="7"/>
  <c r="R39" i="7"/>
  <c r="Q39" i="7"/>
  <c r="P39" i="7"/>
  <c r="O39" i="7"/>
  <c r="N39" i="7"/>
  <c r="M39" i="7"/>
  <c r="L39" i="7"/>
  <c r="T38" i="7"/>
  <c r="S38" i="7"/>
  <c r="R38" i="7"/>
  <c r="Q38" i="7"/>
  <c r="P38" i="7"/>
  <c r="O38" i="7"/>
  <c r="N38" i="7"/>
  <c r="M38" i="7"/>
  <c r="L38" i="7"/>
  <c r="T37" i="7"/>
  <c r="S37" i="7"/>
  <c r="R37" i="7"/>
  <c r="Q37" i="7"/>
  <c r="P37" i="7"/>
  <c r="O37" i="7"/>
  <c r="N37" i="7"/>
  <c r="M37" i="7"/>
  <c r="L37" i="7"/>
  <c r="T36" i="7"/>
  <c r="S36" i="7"/>
  <c r="R36" i="7"/>
  <c r="Q36" i="7"/>
  <c r="P36" i="7"/>
  <c r="O36" i="7"/>
  <c r="N36" i="7"/>
  <c r="M36" i="7"/>
  <c r="L36" i="7"/>
  <c r="T35" i="7"/>
  <c r="S35" i="7"/>
  <c r="R35" i="7"/>
  <c r="Q35" i="7"/>
  <c r="P35" i="7"/>
  <c r="O35" i="7"/>
  <c r="N35" i="7"/>
  <c r="M35" i="7"/>
  <c r="L35" i="7"/>
  <c r="T34" i="7"/>
  <c r="S34" i="7"/>
  <c r="R34" i="7"/>
  <c r="Q34" i="7"/>
  <c r="P34" i="7"/>
  <c r="O34" i="7"/>
  <c r="N34" i="7"/>
  <c r="M34" i="7"/>
  <c r="L34" i="7"/>
  <c r="T33" i="7"/>
  <c r="S33" i="7"/>
  <c r="R33" i="7"/>
  <c r="Q33" i="7"/>
  <c r="P33" i="7"/>
  <c r="O33" i="7"/>
  <c r="N33" i="7"/>
  <c r="M33" i="7"/>
  <c r="L33" i="7"/>
  <c r="T32" i="7"/>
  <c r="S32" i="7"/>
  <c r="R32" i="7"/>
  <c r="Q32" i="7"/>
  <c r="P32" i="7"/>
  <c r="O32" i="7"/>
  <c r="N32" i="7"/>
  <c r="M32" i="7"/>
  <c r="L32" i="7"/>
  <c r="T31" i="7"/>
  <c r="S31" i="7"/>
  <c r="R31" i="7"/>
  <c r="Q31" i="7"/>
  <c r="P31" i="7"/>
  <c r="O31" i="7"/>
  <c r="N31" i="7"/>
  <c r="M31" i="7"/>
  <c r="L31" i="7"/>
  <c r="T30" i="7"/>
  <c r="S30" i="7"/>
  <c r="R30" i="7"/>
  <c r="Q30" i="7"/>
  <c r="P30" i="7"/>
  <c r="O30" i="7"/>
  <c r="N30" i="7"/>
  <c r="M30" i="7"/>
  <c r="L30" i="7"/>
  <c r="T29" i="7"/>
  <c r="S29" i="7"/>
  <c r="R29" i="7"/>
  <c r="Q29" i="7"/>
  <c r="P29" i="7"/>
  <c r="O29" i="7"/>
  <c r="N29" i="7"/>
  <c r="M29" i="7"/>
  <c r="L29" i="7"/>
  <c r="T28" i="7"/>
  <c r="S28" i="7"/>
  <c r="R28" i="7"/>
  <c r="Q28" i="7"/>
  <c r="P28" i="7"/>
  <c r="O28" i="7"/>
  <c r="N28" i="7"/>
  <c r="M28" i="7"/>
  <c r="L28" i="7"/>
  <c r="T27" i="7"/>
  <c r="S27" i="7"/>
  <c r="R27" i="7"/>
  <c r="Q27" i="7"/>
  <c r="P27" i="7"/>
  <c r="O27" i="7"/>
  <c r="N27" i="7"/>
  <c r="M27" i="7"/>
  <c r="L27" i="7"/>
  <c r="T26" i="7"/>
  <c r="S26" i="7"/>
  <c r="R26" i="7"/>
  <c r="Q26" i="7"/>
  <c r="P26" i="7"/>
  <c r="O26" i="7"/>
  <c r="N26" i="7"/>
  <c r="M26" i="7"/>
  <c r="L26" i="7"/>
  <c r="T25" i="7"/>
  <c r="S25" i="7"/>
  <c r="R25" i="7"/>
  <c r="Q25" i="7"/>
  <c r="P25" i="7"/>
  <c r="O25" i="7"/>
  <c r="N25" i="7"/>
  <c r="M25" i="7"/>
  <c r="L25" i="7"/>
  <c r="T24" i="7"/>
  <c r="S24" i="7"/>
  <c r="R24" i="7"/>
  <c r="Q24" i="7"/>
  <c r="P24" i="7"/>
  <c r="O24" i="7"/>
  <c r="N24" i="7"/>
  <c r="M24" i="7"/>
  <c r="L24" i="7"/>
  <c r="T23" i="7"/>
  <c r="S23" i="7"/>
  <c r="R23" i="7"/>
  <c r="Q23" i="7"/>
  <c r="P23" i="7"/>
  <c r="O23" i="7"/>
  <c r="N23" i="7"/>
  <c r="M23" i="7"/>
  <c r="L23" i="7"/>
  <c r="T22" i="7"/>
  <c r="S22" i="7"/>
  <c r="R22" i="7"/>
  <c r="Q22" i="7"/>
  <c r="P22" i="7"/>
  <c r="O22" i="7"/>
  <c r="N22" i="7"/>
  <c r="M22" i="7"/>
  <c r="L22" i="7"/>
  <c r="T21" i="7"/>
  <c r="S21" i="7"/>
  <c r="R21" i="7"/>
  <c r="Q21" i="7"/>
  <c r="P21" i="7"/>
  <c r="O21" i="7"/>
  <c r="N21" i="7"/>
  <c r="M21" i="7"/>
  <c r="L21" i="7"/>
  <c r="T20" i="7"/>
  <c r="S20" i="7"/>
  <c r="R20" i="7"/>
  <c r="Q20" i="7"/>
  <c r="P20" i="7"/>
  <c r="O20" i="7"/>
  <c r="N20" i="7"/>
  <c r="M20" i="7"/>
  <c r="L20" i="7"/>
  <c r="T19" i="7"/>
  <c r="S19" i="7"/>
  <c r="R19" i="7"/>
  <c r="Q19" i="7"/>
  <c r="P19" i="7"/>
  <c r="O19" i="7"/>
  <c r="N19" i="7"/>
  <c r="M19" i="7"/>
  <c r="L19" i="7"/>
  <c r="T18" i="7"/>
  <c r="S18" i="7"/>
  <c r="R18" i="7"/>
  <c r="Q18" i="7"/>
  <c r="P18" i="7"/>
  <c r="O18" i="7"/>
  <c r="N18" i="7"/>
  <c r="M18" i="7"/>
  <c r="L18" i="7"/>
  <c r="T17" i="7"/>
  <c r="S17" i="7"/>
  <c r="R17" i="7"/>
  <c r="Q17" i="7"/>
  <c r="P17" i="7"/>
  <c r="O17" i="7"/>
  <c r="N17" i="7"/>
  <c r="M17" i="7"/>
  <c r="L17" i="7"/>
  <c r="T16" i="7"/>
  <c r="S16" i="7"/>
  <c r="R16" i="7"/>
  <c r="Q16" i="7"/>
  <c r="P16" i="7"/>
  <c r="O16" i="7"/>
  <c r="N16" i="7"/>
  <c r="M16" i="7"/>
  <c r="L16" i="7"/>
  <c r="T15" i="7"/>
  <c r="S15" i="7"/>
  <c r="R15" i="7"/>
  <c r="Q15" i="7"/>
  <c r="P15" i="7"/>
  <c r="O15" i="7"/>
  <c r="N15" i="7"/>
  <c r="M15" i="7"/>
  <c r="L15" i="7"/>
  <c r="T14" i="7"/>
  <c r="S14" i="7"/>
  <c r="R14" i="7"/>
  <c r="Q14" i="7"/>
  <c r="P14" i="7"/>
  <c r="O14" i="7"/>
  <c r="N14" i="7"/>
  <c r="M14" i="7"/>
  <c r="L14" i="7"/>
  <c r="T13" i="7"/>
  <c r="S13" i="7"/>
  <c r="R13" i="7"/>
  <c r="Q13" i="7"/>
  <c r="P13" i="7"/>
  <c r="O13" i="7"/>
  <c r="N13" i="7"/>
  <c r="M13" i="7"/>
  <c r="L13" i="7"/>
  <c r="T12" i="7"/>
  <c r="S12" i="7"/>
  <c r="R12" i="7"/>
  <c r="Q12" i="7"/>
  <c r="P12" i="7"/>
  <c r="O12" i="7"/>
  <c r="N12" i="7"/>
  <c r="M12" i="7"/>
  <c r="L12" i="7"/>
  <c r="T11" i="7"/>
  <c r="S11" i="7"/>
  <c r="R11" i="7"/>
  <c r="Q11" i="7"/>
  <c r="P11" i="7"/>
  <c r="O11" i="7"/>
  <c r="N11" i="7"/>
  <c r="M11" i="7"/>
  <c r="L11" i="7"/>
  <c r="T10" i="7"/>
  <c r="S10" i="7"/>
  <c r="R10" i="7"/>
  <c r="Q10" i="7"/>
  <c r="P10" i="7"/>
  <c r="O10" i="7"/>
  <c r="N10" i="7"/>
  <c r="M10" i="7"/>
  <c r="L10" i="7"/>
  <c r="T9" i="7"/>
  <c r="S9" i="7"/>
  <c r="R9" i="7"/>
  <c r="Q9" i="7"/>
  <c r="P9" i="7"/>
  <c r="O9" i="7"/>
  <c r="N9" i="7"/>
  <c r="M9" i="7"/>
  <c r="L9" i="7"/>
  <c r="T8" i="7"/>
  <c r="S8" i="7"/>
  <c r="R8" i="7"/>
  <c r="Q8" i="7"/>
  <c r="P8" i="7"/>
  <c r="O8" i="7"/>
  <c r="N8" i="7"/>
  <c r="M8" i="7"/>
  <c r="L8" i="7"/>
  <c r="T7" i="7"/>
  <c r="S7" i="7"/>
  <c r="R7" i="7"/>
  <c r="Q7" i="7"/>
  <c r="P7" i="7"/>
  <c r="O7" i="7"/>
  <c r="N7" i="7"/>
  <c r="M7" i="7"/>
  <c r="L7" i="7"/>
  <c r="T6" i="7"/>
  <c r="S6" i="7"/>
  <c r="R6" i="7"/>
  <c r="Q6" i="7"/>
  <c r="P6" i="7"/>
  <c r="O6" i="7"/>
  <c r="N6" i="7"/>
  <c r="M6" i="7"/>
  <c r="L6" i="7"/>
  <c r="T5" i="7"/>
  <c r="S5" i="7"/>
  <c r="R5" i="7"/>
  <c r="Q5" i="7"/>
  <c r="P5" i="7"/>
  <c r="O5" i="7"/>
  <c r="N5" i="7"/>
  <c r="M5" i="7"/>
  <c r="L5" i="7"/>
  <c r="T4" i="7"/>
  <c r="S4" i="7"/>
  <c r="R4" i="7"/>
  <c r="Q4" i="7"/>
  <c r="P4" i="7"/>
  <c r="O4" i="7"/>
  <c r="N4" i="7"/>
  <c r="E7" i="13" s="1"/>
  <c r="M4" i="7"/>
  <c r="L4" i="7"/>
  <c r="B19" i="9" l="1"/>
  <c r="B20" i="9"/>
  <c r="E5" i="13"/>
  <c r="B21" i="9"/>
  <c r="B18" i="10"/>
  <c r="B20" i="10"/>
  <c r="B21" i="10"/>
  <c r="E4" i="13"/>
  <c r="E6" i="13"/>
  <c r="B18" i="9"/>
  <c r="B6" i="16"/>
</calcChain>
</file>

<file path=xl/sharedStrings.xml><?xml version="1.0" encoding="utf-8"?>
<sst xmlns="http://schemas.openxmlformats.org/spreadsheetml/2006/main" count="2657" uniqueCount="687">
  <si>
    <t>Domonique Excel Master Workbook — Business Analyst Training</t>
  </si>
  <si>
    <t>Fictional Company</t>
  </si>
  <si>
    <t>TechNova Solutions</t>
  </si>
  <si>
    <t>Purpose</t>
  </si>
  <si>
    <t>Practice Excel using realistic business data and interview-ready business scenarios.</t>
  </si>
  <si>
    <t>How to Use</t>
  </si>
  <si>
    <t>Start with XLOOKUP, then SUMIFS, COUNTIFS, Conditional Formatting, PivotTables, and Dashboard building.</t>
  </si>
  <si>
    <t>Portfolio Goal</t>
  </si>
  <si>
    <t>Turn this into an Excel business analysis project with a Loom walkthrough and GitHub documentation.</t>
  </si>
  <si>
    <t>Learning Roadmap</t>
  </si>
  <si>
    <t>Status</t>
  </si>
  <si>
    <t>Business Skill</t>
  </si>
  <si>
    <t>Excel Skill</t>
  </si>
  <si>
    <t>Interview Skill</t>
  </si>
  <si>
    <t>Portfolio Evidence</t>
  </si>
  <si>
    <t>Salesforce/SOQL Connection</t>
  </si>
  <si>
    <t>Notes</t>
  </si>
  <si>
    <t>1. XLOOKUP</t>
  </si>
  <si>
    <t>Ready</t>
  </si>
  <si>
    <t>Connect related data</t>
  </si>
  <si>
    <t>Lookup formulas</t>
  </si>
  <si>
    <t>Explain shared keys</t>
  </si>
  <si>
    <t>Before/after lookup screenshots</t>
  </si>
  <si>
    <t>Similar to relationships using IDs</t>
  </si>
  <si>
    <t>2. SUMIFS</t>
  </si>
  <si>
    <t>Calculate revenue by criteria</t>
  </si>
  <si>
    <t>Conditional sums</t>
  </si>
  <si>
    <t>Explain metric + condition</t>
  </si>
  <si>
    <t>Revenue summary</t>
  </si>
  <si>
    <t>Similar to SUM + WHERE</t>
  </si>
  <si>
    <t>3. COUNTIFS</t>
  </si>
  <si>
    <t>Count records by criteria</t>
  </si>
  <si>
    <t>Conditional counts</t>
  </si>
  <si>
    <t>Explain record counts</t>
  </si>
  <si>
    <t>Order volume summary</t>
  </si>
  <si>
    <t>Similar to COUNT + WHERE</t>
  </si>
  <si>
    <t>4. Conditional Formatting</t>
  </si>
  <si>
    <t>Identify exceptions quickly</t>
  </si>
  <si>
    <t>Highlight rules</t>
  </si>
  <si>
    <t>Explain visual risk flags</t>
  </si>
  <si>
    <t>High-value sales view</t>
  </si>
  <si>
    <t>Similar to list view filters</t>
  </si>
  <si>
    <t>5. PivotTables</t>
  </si>
  <si>
    <t>Summarize performance</t>
  </si>
  <si>
    <t>Rows/Values/Filters</t>
  </si>
  <si>
    <t>Explain grouped analysis</t>
  </si>
  <si>
    <t>Revenue by region/rep</t>
  </si>
  <si>
    <t>Similar to Salesforce reports</t>
  </si>
  <si>
    <t>6. Executive Dashboard</t>
  </si>
  <si>
    <t>Starter</t>
  </si>
  <si>
    <t>Tell the story</t>
  </si>
  <si>
    <t>Charts/KPIs</t>
  </si>
  <si>
    <t>Present insight + action</t>
  </si>
  <si>
    <t>Dashboard screenshot</t>
  </si>
  <si>
    <t>Similar to Salesforce dashboards</t>
  </si>
  <si>
    <t>Data Dictionary</t>
  </si>
  <si>
    <t>Sheet</t>
  </si>
  <si>
    <t>Field</t>
  </si>
  <si>
    <t>Definition</t>
  </si>
  <si>
    <t>Example</t>
  </si>
  <si>
    <t>Why It Matters</t>
  </si>
  <si>
    <t>Related Skill</t>
  </si>
  <si>
    <t>Orders_Practice</t>
  </si>
  <si>
    <t>Customer ID</t>
  </si>
  <si>
    <t>Shared key that connects Orders to Customers</t>
  </si>
  <si>
    <t>C001</t>
  </si>
  <si>
    <t>Used for XLOOKUP</t>
  </si>
  <si>
    <t>XLOOKUP / Relationships</t>
  </si>
  <si>
    <t>Product ID</t>
  </si>
  <si>
    <t>Shared key that connects Orders to Products</t>
  </si>
  <si>
    <t>P001</t>
  </si>
  <si>
    <t>Used to retrieve product details</t>
  </si>
  <si>
    <t>XLOOKUP</t>
  </si>
  <si>
    <t>Rep ID</t>
  </si>
  <si>
    <t>Shared key that connects Orders to Sales_Reps</t>
  </si>
  <si>
    <t>R001</t>
  </si>
  <si>
    <t>Used to retrieve rep details</t>
  </si>
  <si>
    <t>Revenue</t>
  </si>
  <si>
    <t>Money generated from the order</t>
  </si>
  <si>
    <t>2400</t>
  </si>
  <si>
    <t>Used for sales performance</t>
  </si>
  <si>
    <t>SUMIFS / PivotTables</t>
  </si>
  <si>
    <t>Profit</t>
  </si>
  <si>
    <t>Money kept after estimated cost</t>
  </si>
  <si>
    <t>672</t>
  </si>
  <si>
    <t>Shows business profitability</t>
  </si>
  <si>
    <t>SUMIFS / Dashboard</t>
  </si>
  <si>
    <t>Customers</t>
  </si>
  <si>
    <t>Industry</t>
  </si>
  <si>
    <t>Customer business type</t>
  </si>
  <si>
    <t>Healthcare</t>
  </si>
  <si>
    <t>Used for segmentation</t>
  </si>
  <si>
    <t>SUMIFS / COUNTIFS</t>
  </si>
  <si>
    <t>Sales_Reps</t>
  </si>
  <si>
    <t>Rep Region</t>
  </si>
  <si>
    <t>Primary region assigned to rep</t>
  </si>
  <si>
    <t>North</t>
  </si>
  <si>
    <t>Used for performance comparison</t>
  </si>
  <si>
    <t>PivotTables</t>
  </si>
  <si>
    <t>Customers Table</t>
  </si>
  <si>
    <t>Customer Name</t>
  </si>
  <si>
    <t>State</t>
  </si>
  <si>
    <t>Region</t>
  </si>
  <si>
    <t>Segment</t>
  </si>
  <si>
    <t>Acme Manufacturing</t>
  </si>
  <si>
    <t>MI</t>
  </si>
  <si>
    <t>Manufacturing</t>
  </si>
  <si>
    <t>Enterprise</t>
  </si>
  <si>
    <t>C002</t>
  </si>
  <si>
    <t>Blue Sky Health</t>
  </si>
  <si>
    <t>CA</t>
  </si>
  <si>
    <t>West</t>
  </si>
  <si>
    <t>Retail</t>
  </si>
  <si>
    <t>SMB</t>
  </si>
  <si>
    <t>C003</t>
  </si>
  <si>
    <t>GreenTech Systems</t>
  </si>
  <si>
    <t>TX</t>
  </si>
  <si>
    <t>South</t>
  </si>
  <si>
    <t>C004</t>
  </si>
  <si>
    <t>Northwind Retail</t>
  </si>
  <si>
    <t>IL</t>
  </si>
  <si>
    <t>Financial Services</t>
  </si>
  <si>
    <t>C005</t>
  </si>
  <si>
    <t>Summit Logistics</t>
  </si>
  <si>
    <t>MN</t>
  </si>
  <si>
    <t>C006</t>
  </si>
  <si>
    <t>Bright Solar</t>
  </si>
  <si>
    <t>NC</t>
  </si>
  <si>
    <t>C007</t>
  </si>
  <si>
    <t>Metro Foods</t>
  </si>
  <si>
    <t>FL</t>
  </si>
  <si>
    <t>C008</t>
  </si>
  <si>
    <t>Pioneer Labs</t>
  </si>
  <si>
    <t>MA</t>
  </si>
  <si>
    <t>East</t>
  </si>
  <si>
    <t>Logistics</t>
  </si>
  <si>
    <t>C009</t>
  </si>
  <si>
    <t>Riverbend Education</t>
  </si>
  <si>
    <t>GA</t>
  </si>
  <si>
    <t>Mid-Market</t>
  </si>
  <si>
    <t>C010</t>
  </si>
  <si>
    <t>Urban Finance</t>
  </si>
  <si>
    <t>Technology</t>
  </si>
  <si>
    <t>C011</t>
  </si>
  <si>
    <t>Evergreen Medical</t>
  </si>
  <si>
    <t>CO</t>
  </si>
  <si>
    <t>C012</t>
  </si>
  <si>
    <t>Lakeview Distribution</t>
  </si>
  <si>
    <t>NY</t>
  </si>
  <si>
    <t>C013</t>
  </si>
  <si>
    <t>Prairie Tech</t>
  </si>
  <si>
    <t>WA</t>
  </si>
  <si>
    <t>C014</t>
  </si>
  <si>
    <t>Keystone Energy</t>
  </si>
  <si>
    <t>C015</t>
  </si>
  <si>
    <t>Cedar Health</t>
  </si>
  <si>
    <t>C016</t>
  </si>
  <si>
    <t>Silverline Retail</t>
  </si>
  <si>
    <t>C017</t>
  </si>
  <si>
    <t>Harbor Systems</t>
  </si>
  <si>
    <t>C018</t>
  </si>
  <si>
    <t>Oakridge Manufacturing</t>
  </si>
  <si>
    <t>C019</t>
  </si>
  <si>
    <t>Redstone Logistics</t>
  </si>
  <si>
    <t>C020</t>
  </si>
  <si>
    <t>Sunrise Learning</t>
  </si>
  <si>
    <t>Energy</t>
  </si>
  <si>
    <t>C021</t>
  </si>
  <si>
    <t>Vertex Analytics</t>
  </si>
  <si>
    <t>C022</t>
  </si>
  <si>
    <t>Crescent Foods</t>
  </si>
  <si>
    <t>C023</t>
  </si>
  <si>
    <t>Ironwood Industries</t>
  </si>
  <si>
    <t>C024</t>
  </si>
  <si>
    <t>Bridgeview Health</t>
  </si>
  <si>
    <t>C025</t>
  </si>
  <si>
    <t>Zenith Retail</t>
  </si>
  <si>
    <t>C026</t>
  </si>
  <si>
    <t>Maple Grove Tech</t>
  </si>
  <si>
    <t>Education</t>
  </si>
  <si>
    <t>C027</t>
  </si>
  <si>
    <t>Atlas Energy</t>
  </si>
  <si>
    <t>C028</t>
  </si>
  <si>
    <t>Beacon Financial</t>
  </si>
  <si>
    <t>C029</t>
  </si>
  <si>
    <t>Trailhead Logistics</t>
  </si>
  <si>
    <t>C030</t>
  </si>
  <si>
    <t>Nexus Manufacturing</t>
  </si>
  <si>
    <t>VA</t>
  </si>
  <si>
    <t>C031</t>
  </si>
  <si>
    <t>Clearwater Medical</t>
  </si>
  <si>
    <t>C032</t>
  </si>
  <si>
    <t>Summit Ridge Education</t>
  </si>
  <si>
    <t>C033</t>
  </si>
  <si>
    <t>Copperline Systems</t>
  </si>
  <si>
    <t>C034</t>
  </si>
  <si>
    <t>Orion Retail</t>
  </si>
  <si>
    <t>C035</t>
  </si>
  <si>
    <t>Prairie Home Foods</t>
  </si>
  <si>
    <t>C036</t>
  </si>
  <si>
    <t>Lakeside Health</t>
  </si>
  <si>
    <t>WI</t>
  </si>
  <si>
    <t>C037</t>
  </si>
  <si>
    <t>Catalyst Tech</t>
  </si>
  <si>
    <t>C038</t>
  </si>
  <si>
    <t>TrueNorth Manufacturing</t>
  </si>
  <si>
    <t>C039</t>
  </si>
  <si>
    <t>Granite Logistics</t>
  </si>
  <si>
    <t>C040</t>
  </si>
  <si>
    <t>Momentum Finance</t>
  </si>
  <si>
    <t>C041</t>
  </si>
  <si>
    <t>NewLeaf Education</t>
  </si>
  <si>
    <t>C042</t>
  </si>
  <si>
    <t>WestBridge Energy</t>
  </si>
  <si>
    <t>AZ</t>
  </si>
  <si>
    <t>C043</t>
  </si>
  <si>
    <t>Skyline Retail</t>
  </si>
  <si>
    <t>C044</t>
  </si>
  <si>
    <t>Meridian Systems</t>
  </si>
  <si>
    <t>C045</t>
  </si>
  <si>
    <t>Aspire Health</t>
  </si>
  <si>
    <t>C046</t>
  </si>
  <si>
    <t>Cobalt Manufacturing</t>
  </si>
  <si>
    <t>C047</t>
  </si>
  <si>
    <t>NorthStar Logistics</t>
  </si>
  <si>
    <t>C048</t>
  </si>
  <si>
    <t>FutureWorks Tech</t>
  </si>
  <si>
    <t>C049</t>
  </si>
  <si>
    <t>BrightPath Education</t>
  </si>
  <si>
    <t>C050</t>
  </si>
  <si>
    <t>Legacy Foods</t>
  </si>
  <si>
    <t>Products Table</t>
  </si>
  <si>
    <t>Product Name</t>
  </si>
  <si>
    <t>Category</t>
  </si>
  <si>
    <t>Unit Price</t>
  </si>
  <si>
    <t>Margin %</t>
  </si>
  <si>
    <t>Laptop Pro 14</t>
  </si>
  <si>
    <t>Hardware</t>
  </si>
  <si>
    <t>P002</t>
  </si>
  <si>
    <t>Laptop Pro 16</t>
  </si>
  <si>
    <t>P003</t>
  </si>
  <si>
    <t>27-inch Monitor</t>
  </si>
  <si>
    <t>P004</t>
  </si>
  <si>
    <t>Wireless Keyboard</t>
  </si>
  <si>
    <t>Accessory</t>
  </si>
  <si>
    <t>P005</t>
  </si>
  <si>
    <t>Wireless Mouse</t>
  </si>
  <si>
    <t>P006</t>
  </si>
  <si>
    <t>USB-C Docking Station</t>
  </si>
  <si>
    <t>P007</t>
  </si>
  <si>
    <t>Security Software</t>
  </si>
  <si>
    <t>Software</t>
  </si>
  <si>
    <t>P008</t>
  </si>
  <si>
    <t>CRM Add-on License</t>
  </si>
  <si>
    <t>P009</t>
  </si>
  <si>
    <t>Implementation Package</t>
  </si>
  <si>
    <t>Service</t>
  </si>
  <si>
    <t>P010</t>
  </si>
  <si>
    <t>Training Package</t>
  </si>
  <si>
    <t>P011</t>
  </si>
  <si>
    <t>Cloud Backup Plan</t>
  </si>
  <si>
    <t>P012</t>
  </si>
  <si>
    <t>Managed Support Plan</t>
  </si>
  <si>
    <t>P013</t>
  </si>
  <si>
    <t>Tablet</t>
  </si>
  <si>
    <t>P014</t>
  </si>
  <si>
    <t>Conference Camera</t>
  </si>
  <si>
    <t>P015</t>
  </si>
  <si>
    <t>Headset</t>
  </si>
  <si>
    <t>P016</t>
  </si>
  <si>
    <t>Analytics License</t>
  </si>
  <si>
    <t>P017</t>
  </si>
  <si>
    <t>Data Migration Service</t>
  </si>
  <si>
    <t>P018</t>
  </si>
  <si>
    <t>Mobile Device Plan</t>
  </si>
  <si>
    <t>P019</t>
  </si>
  <si>
    <t>Printer</t>
  </si>
  <si>
    <t>P020</t>
  </si>
  <si>
    <t>Network Switch</t>
  </si>
  <si>
    <t>Sales Reps Table</t>
  </si>
  <si>
    <t>Sales Rep</t>
  </si>
  <si>
    <t>Experience Level</t>
  </si>
  <si>
    <t>Ava Johnson</t>
  </si>
  <si>
    <t>Senior</t>
  </si>
  <si>
    <t>R002</t>
  </si>
  <si>
    <t>Ben Carter</t>
  </si>
  <si>
    <t>Mid</t>
  </si>
  <si>
    <t>R003</t>
  </si>
  <si>
    <t>Cara Lee</t>
  </si>
  <si>
    <t>Junior</t>
  </si>
  <si>
    <t>R004</t>
  </si>
  <si>
    <t>Dan Miller</t>
  </si>
  <si>
    <t>R005</t>
  </si>
  <si>
    <t>Mia Thompson</t>
  </si>
  <si>
    <t>R006</t>
  </si>
  <si>
    <t>Noah Davis</t>
  </si>
  <si>
    <t>R007</t>
  </si>
  <si>
    <t>Leah Wilson</t>
  </si>
  <si>
    <t>R008</t>
  </si>
  <si>
    <t>Omar Brown</t>
  </si>
  <si>
    <t>Orders Practice</t>
  </si>
  <si>
    <t>Order ID</t>
  </si>
  <si>
    <t>Order Date</t>
  </si>
  <si>
    <t>Quantity</t>
  </si>
  <si>
    <t>Discount</t>
  </si>
  <si>
    <t>O00001</t>
  </si>
  <si>
    <t>Closed Won</t>
  </si>
  <si>
    <t>O00002</t>
  </si>
  <si>
    <t>O00003</t>
  </si>
  <si>
    <t>Open</t>
  </si>
  <si>
    <t>O00004</t>
  </si>
  <si>
    <t>O00005</t>
  </si>
  <si>
    <t>O00006</t>
  </si>
  <si>
    <t>Closed Lost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</si>
  <si>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</si>
  <si>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</si>
  <si>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</si>
  <si>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</si>
  <si>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</si>
  <si>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</si>
  <si>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</si>
  <si>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</si>
  <si>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</si>
  <si>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</si>
  <si>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</si>
  <si>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</si>
  <si>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</si>
  <si>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</si>
  <si>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</si>
  <si>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</si>
  <si>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</si>
  <si>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</si>
  <si>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</si>
  <si>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</si>
  <si>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</si>
  <si>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</si>
  <si>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</si>
  <si>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</si>
  <si>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</si>
  <si>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</si>
  <si>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</si>
  <si>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</si>
  <si>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</si>
  <si>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</si>
  <si>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</si>
  <si>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</si>
  <si>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</si>
  <si>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</si>
  <si>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</si>
  <si>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</si>
  <si>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</si>
  <si>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</si>
  <si>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</si>
  <si>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</si>
  <si>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</si>
  <si>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</si>
  <si>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</si>
  <si>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</si>
  <si>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</si>
  <si>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</si>
  <si>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</si>
  <si>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</si>
  <si>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</si>
  <si>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</si>
  <si>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</si>
  <si>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</si>
  <si>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</si>
  <si>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</si>
  <si>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</si>
  <si>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</si>
  <si>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</si>
  <si>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</si>
  <si>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</si>
  <si>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</si>
  <si>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</si>
  <si>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</si>
  <si>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</si>
  <si>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</si>
  <si>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</si>
  <si>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</si>
  <si>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</si>
  <si>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</si>
  <si>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</si>
  <si>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</si>
  <si>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</si>
  <si>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</si>
  <si>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</si>
  <si>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</si>
  <si>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</si>
  <si>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</si>
  <si>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</si>
  <si>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</si>
  <si>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</si>
  <si>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</si>
  <si>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</si>
  <si>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</si>
  <si>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</si>
  <si>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</si>
  <si>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</si>
  <si>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</si>
  <si>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</si>
  <si>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</si>
  <si>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</si>
  <si>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</si>
  <si>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</si>
  <si>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</si>
  <si>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</si>
  <si>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</si>
  <si>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</si>
  <si>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</si>
  <si>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</si>
  <si>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</si>
  <si>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</si>
  <si>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</si>
  <si>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</si>
  <si>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</si>
  <si>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</si>
  <si>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</si>
  <si>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</si>
  <si>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</si>
  <si>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</si>
  <si>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</si>
  <si>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</si>
  <si>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</si>
  <si>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</si>
  <si>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</si>
  <si>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</si>
  <si>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</si>
  <si>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</si>
  <si>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</si>
  <si>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</si>
  <si>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</si>
  <si>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</si>
  <si>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</si>
  <si>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</si>
  <si>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</si>
  <si>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</si>
  <si>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</si>
  <si>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</si>
  <si>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</si>
  <si>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</si>
  <si>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</si>
  <si>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</si>
  <si>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</si>
  <si>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</si>
  <si>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</si>
  <si>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</si>
  <si>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</si>
  <si>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</si>
  <si>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</si>
  <si>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</si>
  <si>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</si>
  <si>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</si>
  <si>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</si>
  <si>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</si>
  <si>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</si>
  <si>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</si>
  <si>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</si>
  <si>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</si>
  <si>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</si>
  <si>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</si>
  <si>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</si>
  <si>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</si>
  <si>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</si>
  <si>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</si>
  <si>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</si>
  <si>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</si>
  <si>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</si>
  <si>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</si>
  <si>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</si>
  <si>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</si>
  <si>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</si>
  <si>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</si>
  <si>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</si>
  <si>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</si>
  <si>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</si>
  <si>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</si>
  <si>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</si>
  <si>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</si>
  <si>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</si>
  <si>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</si>
  <si>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</si>
  <si>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</si>
  <si>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</si>
  <si>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</si>
  <si>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</si>
  <si>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</si>
  <si>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</si>
  <si>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Orders Solution</t>
  </si>
  <si>
    <t>Module 1: XLOOKUP — Connect Related Tables</t>
  </si>
  <si>
    <t>Business Problem</t>
  </si>
  <si>
    <t>Orders have Customer ID, Product ID, and Rep ID, but the business wants readable names and details.</t>
  </si>
  <si>
    <t>Goal</t>
  </si>
  <si>
    <t>Use XLOOKUP to populate Customer Name, Industry, Product Name, and Sales Rep in Orders_Practice.</t>
  </si>
  <si>
    <t>Mental Model</t>
  </si>
  <si>
    <t>Look up a value in one table and return matching information from another table using a shared field.</t>
  </si>
  <si>
    <t>Exercise</t>
  </si>
  <si>
    <t>Business Request</t>
  </si>
  <si>
    <t>Shared Field</t>
  </si>
  <si>
    <t>Lookup Table</t>
  </si>
  <si>
    <t>Return Field</t>
  </si>
  <si>
    <t>Where to Enter Formula</t>
  </si>
  <si>
    <t>Hint</t>
  </si>
  <si>
    <t>Done?</t>
  </si>
  <si>
    <t>1</t>
  </si>
  <si>
    <t>Bring Customer Name into Orders</t>
  </si>
  <si>
    <t>Orders_Practice!L4</t>
  </si>
  <si>
    <t>2</t>
  </si>
  <si>
    <t>Bring State into Orders</t>
  </si>
  <si>
    <t>Orders_Practice!M4</t>
  </si>
  <si>
    <t>Same lookup value, different return column</t>
  </si>
  <si>
    <t>3</t>
  </si>
  <si>
    <t>Bring Industry into Orders</t>
  </si>
  <si>
    <t>Orders_Practice!O4</t>
  </si>
  <si>
    <t>Use Customers Industry column as return array</t>
  </si>
  <si>
    <t>4</t>
  </si>
  <si>
    <t>Bring Product Name into Orders</t>
  </si>
  <si>
    <t>Products</t>
  </si>
  <si>
    <t>Orders_Practice!Q4</t>
  </si>
  <si>
    <t>Use Product ID as shared field</t>
  </si>
  <si>
    <t>5</t>
  </si>
  <si>
    <t>Bring Sales Rep Name into Orders</t>
  </si>
  <si>
    <t>Orders_Practice!S4</t>
  </si>
  <si>
    <t>Use Rep ID as shared field</t>
  </si>
  <si>
    <t>Interview Practice</t>
  </si>
  <si>
    <t>Prompt</t>
  </si>
  <si>
    <t>Answer in your own words</t>
  </si>
  <si>
    <t>What business problem does XLOOKUP solve?</t>
  </si>
  <si>
    <t>How is XLOOKUP similar to Salesforce relationships?</t>
  </si>
  <si>
    <t>Module 2: SUMIFS — Add Numbers That Meet Conditions</t>
  </si>
  <si>
    <t>Leadership wants revenue totals by region, industry, product, or rep without manually filtering.</t>
  </si>
  <si>
    <t>Use SUMIFS to calculate revenue and profit for specific business conditions.</t>
  </si>
  <si>
    <t>What am I summing? Under what condition?</t>
  </si>
  <si>
    <t>Sum Range</t>
  </si>
  <si>
    <t>Criteria Range</t>
  </si>
  <si>
    <t>Criteria</t>
  </si>
  <si>
    <t>Formula Cell</t>
  </si>
  <si>
    <t>Answer Check</t>
  </si>
  <si>
    <t>Total Revenue for North region</t>
  </si>
  <si>
    <t>Orders_Solution!Revenue</t>
  </si>
  <si>
    <t>Orders_Solution!Region</t>
  </si>
  <si>
    <t>B18</t>
  </si>
  <si>
    <t>Sum Revenue where Region = North</t>
  </si>
  <si>
    <t>Total Revenue for Technology industry</t>
  </si>
  <si>
    <t>Orders_Solution!Industry</t>
  </si>
  <si>
    <t>B19</t>
  </si>
  <si>
    <t>Use lookup-generated Industry column</t>
  </si>
  <si>
    <t>Total Profit for Hardware category</t>
  </si>
  <si>
    <t>Orders_Solution!Profit</t>
  </si>
  <si>
    <t>Orders_Solution!Category</t>
  </si>
  <si>
    <t>B20</t>
  </si>
  <si>
    <t>Sum Profit where Category = Hardware</t>
  </si>
  <si>
    <t>Total Revenue for Sales Rep Ava Johnson</t>
  </si>
  <si>
    <t>Orders_Solution!Sales Rep</t>
  </si>
  <si>
    <t>B21</t>
  </si>
  <si>
    <t>Sum Revenue where Sales Rep = Ava Johnson</t>
  </si>
  <si>
    <t>Practice Summary</t>
  </si>
  <si>
    <t>Formula</t>
  </si>
  <si>
    <t>Result</t>
  </si>
  <si>
    <t>North Revenue</t>
  </si>
  <si>
    <t>Use your own formula first, then compare</t>
  </si>
  <si>
    <t>Technology Revenue</t>
  </si>
  <si>
    <t>Hardware Profit</t>
  </si>
  <si>
    <t>Ava Johnson Revenue</t>
  </si>
  <si>
    <t>Module 3: COUNTIFS — Count Records That Meet Conditions</t>
  </si>
  <si>
    <t>Managers want to know how many orders meet specific conditions.</t>
  </si>
  <si>
    <t>Use COUNTIFS to count orders by region, product category, status, and rep.</t>
  </si>
  <si>
    <t>What am I counting? What conditions must be true?</t>
  </si>
  <si>
    <t>Criteria Range 1</t>
  </si>
  <si>
    <t>Criteria 1</t>
  </si>
  <si>
    <t>Criteria Range 2</t>
  </si>
  <si>
    <t>Criteria 2</t>
  </si>
  <si>
    <t>Count North region orders</t>
  </si>
  <si>
    <t>One condition</t>
  </si>
  <si>
    <t>Count Closed Won orders</t>
  </si>
  <si>
    <t>Count Hardware orders in North</t>
  </si>
  <si>
    <t>Two conditions</t>
  </si>
  <si>
    <t>Count orders assigned to Ava Johnson</t>
  </si>
  <si>
    <t>Use lookup-generated Sales Rep</t>
  </si>
  <si>
    <t>Formula / Result</t>
  </si>
  <si>
    <t>North Orders</t>
  </si>
  <si>
    <t>Closed Won Orders</t>
  </si>
  <si>
    <t>Hardware Orders in North</t>
  </si>
  <si>
    <t>Ava Johnson Orders</t>
  </si>
  <si>
    <t>Module 4: Conditional Formatting — Spot Exceptions Fast</t>
  </si>
  <si>
    <t>Managers need to quickly identify high-value orders, missing lookup values, and negative outcomes.</t>
  </si>
  <si>
    <t>Use visual rules to highlight important records without manually scanning rows.</t>
  </si>
  <si>
    <t>Where to Apply</t>
  </si>
  <si>
    <t>Rule Type</t>
  </si>
  <si>
    <t>Condition</t>
  </si>
  <si>
    <t>Recommended Format</t>
  </si>
  <si>
    <t>Business Why</t>
  </si>
  <si>
    <t>Highlight revenue over $5,000</t>
  </si>
  <si>
    <t>Orders_Practice!I:I</t>
  </si>
  <si>
    <t>Cell Value</t>
  </si>
  <si>
    <t>&gt; 5000</t>
  </si>
  <si>
    <t>Green fill</t>
  </si>
  <si>
    <t>High-value transactions deserve attention</t>
  </si>
  <si>
    <t>Highlight missing Customer Names</t>
  </si>
  <si>
    <t>Orders_Practice!L:L</t>
  </si>
  <si>
    <t>Blank cells</t>
  </si>
  <si>
    <t>Is blank</t>
  </si>
  <si>
    <t>Red fill</t>
  </si>
  <si>
    <t>Missing data can break reports</t>
  </si>
  <si>
    <t>Highlight Closed Lost orders</t>
  </si>
  <si>
    <t>Orders_Practice!K:K</t>
  </si>
  <si>
    <t>Text contains</t>
  </si>
  <si>
    <t>Light red fill</t>
  </si>
  <si>
    <t>Lost deals may need review</t>
  </si>
  <si>
    <t>Highlight discount over 10%</t>
  </si>
  <si>
    <t>Orders_Practice!H:H</t>
  </si>
  <si>
    <t>&gt; 10%</t>
  </si>
  <si>
    <t>Yellow fill</t>
  </si>
  <si>
    <t>Large discounts can reduce profit</t>
  </si>
  <si>
    <t>Module 5: PivotTables — Summarize Business Performance</t>
  </si>
  <si>
    <t>Leadership needs a fast way to summarize revenue, profit, and order volume.</t>
  </si>
  <si>
    <t>Use PivotTables to answer business questions without manually sorting or filtering data.</t>
  </si>
  <si>
    <t>Rows = what am I grouping by? Values = what am I calculating? Filters = what do I want to choose?</t>
  </si>
  <si>
    <t>Business Question</t>
  </si>
  <si>
    <t>Rows</t>
  </si>
  <si>
    <t>Values</t>
  </si>
  <si>
    <t>Filters</t>
  </si>
  <si>
    <t>Columns</t>
  </si>
  <si>
    <t>Business Insight to Write</t>
  </si>
  <si>
    <t>Revenue by Region</t>
  </si>
  <si>
    <t>Which region generated the most revenue?</t>
  </si>
  <si>
    <t>Revenue by Sales Rep</t>
  </si>
  <si>
    <t>Which rep generated the most revenue?</t>
  </si>
  <si>
    <t>Profit by Product Category</t>
  </si>
  <si>
    <t>Which category is most profitable?</t>
  </si>
  <si>
    <t>Revenue by Region filtered by Industry</t>
  </si>
  <si>
    <t>How does filtering change the story?</t>
  </si>
  <si>
    <t>Executive Dashboard Starter</t>
  </si>
  <si>
    <t>KPI</t>
  </si>
  <si>
    <t>Value</t>
  </si>
  <si>
    <t>Total Revenue</t>
  </si>
  <si>
    <t>Total Profit</t>
  </si>
  <si>
    <t>Order Count</t>
  </si>
  <si>
    <t>Avg Order Revenue</t>
  </si>
  <si>
    <t>Interview Journal</t>
  </si>
  <si>
    <t>Concept</t>
  </si>
  <si>
    <t>Solution</t>
  </si>
  <si>
    <t>Business Value</t>
  </si>
  <si>
    <t>30-Second Answer</t>
  </si>
  <si>
    <t>Project Evidence</t>
  </si>
  <si>
    <t>Manual copy/paste creates errors</t>
  </si>
  <si>
    <t>Retrieve related data using shared IDs</t>
  </si>
  <si>
    <t>Saves time and improves accuracy</t>
  </si>
  <si>
    <t>Orders + Customers tables</t>
  </si>
  <si>
    <t>SUMIFS</t>
  </si>
  <si>
    <t>Need totals by condition</t>
  </si>
  <si>
    <t>Sum values that meet criteria</t>
  </si>
  <si>
    <t>Supports fast business reporting</t>
  </si>
  <si>
    <t>Revenue by region/industry</t>
  </si>
  <si>
    <t>COUNTIFS</t>
  </si>
  <si>
    <t>Need to count records by criteria</t>
  </si>
  <si>
    <t>Count rows that meet one or more conditions</t>
  </si>
  <si>
    <t>Helps measure activity volume</t>
  </si>
  <si>
    <t>Orders by status/region</t>
  </si>
  <si>
    <t>Conditional Formatting</t>
  </si>
  <si>
    <t>Need to spot exceptions quickly</t>
  </si>
  <si>
    <t>Automatically highlight important values</t>
  </si>
  <si>
    <t>Improves visibility and reduces review time</t>
  </si>
  <si>
    <t>High-value order flags</t>
  </si>
  <si>
    <t>Need to summarize large data</t>
  </si>
  <si>
    <t>Group and calculate metrics</t>
  </si>
  <si>
    <t>Turns raw data into insight</t>
  </si>
  <si>
    <t>Reflection — What Did I Learn?</t>
  </si>
  <si>
    <t>Date</t>
  </si>
  <si>
    <t>Topic</t>
  </si>
  <si>
    <t>In My Own Words</t>
  </si>
  <si>
    <t>Business Problem It Solves</t>
  </si>
  <si>
    <t>Where I Used It</t>
  </si>
  <si>
    <t>Confidence 1-5</t>
  </si>
  <si>
    <t>Answer Key and Formula Examples</t>
  </si>
  <si>
    <t>Example Formula</t>
  </si>
  <si>
    <t>Plain English</t>
  </si>
  <si>
    <t>XLOOKUP Customer Name</t>
  </si>
  <si>
    <t>Find Customer ID and return Customer Name</t>
  </si>
  <si>
    <t>Use in Orders_Practice L4</t>
  </si>
  <si>
    <t>XLOOKUP Product Name</t>
  </si>
  <si>
    <t>Find Product ID and return Product Name</t>
  </si>
  <si>
    <t>Use in Orders_Practice Q4</t>
  </si>
  <si>
    <t>SUMIFS North Revenue</t>
  </si>
  <si>
    <t>Add Revenue when Region is North</t>
  </si>
  <si>
    <t>COUNTIFS Closed Won</t>
  </si>
  <si>
    <t>Count orders with Closed Won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</si>
</sst>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4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1F4E78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5" borderId="0" xfId="0" applyFont="1" applyFill="1" applyAlignment="1">
      <alignment wrapText="1"/>
    </xf>
  </cellXfs>
  <cellStyles count="1">
    <cellStyle name="Normal" xfId="0" builtinId="0"/>
  </cellStyles>
  <dxfs count="2">
    <dxf>
      <font>
        <b/>
      </font>
      <fill>
        <patternFill patternType="solid">
          <bgColor rgb="FFDCFCE7"/>
        </patternFill>
      </fill>
    </dxf>
    <dxf>
      <font>
        <b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1"/>
          <c:cat>
            <c:strRef>
              <c:f>Executive_Dashboard!$D$4:$D$7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Executive_Dashboard!$E$4:$E$7</c:f>
              <c:numCache>
                <c:formatCode>\$#,##0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3A-416D-8861-F493638939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A3:F53">
  <tableColumns count="6">
    <tableColumn id="1" xr3:uid="{00000000-0010-0000-0000-000001000000}" name="Customer ID"/>
    <tableColumn id="2" xr3:uid="{00000000-0010-0000-0000-000002000000}" name="Customer Name"/>
    <tableColumn id="3" xr3:uid="{00000000-0010-0000-0000-000003000000}" name="State"/>
    <tableColumn id="4" xr3:uid="{00000000-0010-0000-0000-000004000000}" name="Region"/>
    <tableColumn id="5" xr3:uid="{00000000-0010-0000-0000-000005000000}" name="Industry"/>
    <tableColumn id="6" xr3:uid="{00000000-0010-0000-0000-000006000000}" name="Segme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Table" displayName="ProductsTable" ref="A3:E23">
  <tableColumns count="5">
    <tableColumn id="1" xr3:uid="{00000000-0010-0000-0100-000001000000}" name="Product ID"/>
    <tableColumn id="2" xr3:uid="{00000000-0010-0000-0100-000002000000}" name="Product Name"/>
    <tableColumn id="3" xr3:uid="{00000000-0010-0000-0100-000003000000}" name="Category"/>
    <tableColumn id="4" xr3:uid="{00000000-0010-0000-0100-000004000000}" name="Unit Price"/>
    <tableColumn id="5" xr3:uid="{00000000-0010-0000-0100-000005000000}" name="Margin 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esRepsTable" displayName="SalesRepsTable" ref="A3:D11">
  <tableColumns count="4">
    <tableColumn id="1" xr3:uid="{00000000-0010-0000-0200-000001000000}" name="Rep ID"/>
    <tableColumn id="2" xr3:uid="{00000000-0010-0000-0200-000002000000}" name="Sales Rep"/>
    <tableColumn id="3" xr3:uid="{00000000-0010-0000-0200-000003000000}" name="Rep Region"/>
    <tableColumn id="4" xr3:uid="{00000000-0010-0000-0200-000004000000}" name="Experience Lev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OrdersPracticeTable" displayName="OrdersPracticeTable" ref="A3:T183">
  <tableColumns count="20">
    <tableColumn id="1" xr3:uid="{00000000-0010-0000-0300-000001000000}" name="Order ID"/>
    <tableColumn id="2" xr3:uid="{00000000-0010-0000-0300-000002000000}" name="Order Date"/>
    <tableColumn id="3" xr3:uid="{00000000-0010-0000-0300-000003000000}" name="Customer ID"/>
    <tableColumn id="4" xr3:uid="{00000000-0010-0000-0300-000004000000}" name="Product ID"/>
    <tableColumn id="5" xr3:uid="{00000000-0010-0000-0300-000005000000}" name="Rep ID"/>
    <tableColumn id="6" xr3:uid="{00000000-0010-0000-0300-000006000000}" name="Quantity"/>
    <tableColumn id="7" xr3:uid="{00000000-0010-0000-0300-000007000000}" name="Unit Price"/>
    <tableColumn id="8" xr3:uid="{00000000-0010-0000-0300-000008000000}" name="Discount"/>
    <tableColumn id="9" xr3:uid="{00000000-0010-0000-0300-000009000000}" name="Revenue"/>
    <tableColumn id="10" xr3:uid="{00000000-0010-0000-0300-00000A000000}" name="Profit"/>
    <tableColumn id="11" xr3:uid="{00000000-0010-0000-0300-00000B000000}" name="Status"/>
    <tableColumn id="12" xr3:uid="{00000000-0010-0000-0300-00000C000000}" name="Customer Name"/>
    <tableColumn id="13" xr3:uid="{00000000-0010-0000-0300-00000D000000}" name="State"/>
    <tableColumn id="14" xr3:uid="{00000000-0010-0000-0300-00000E000000}" name="Region"/>
    <tableColumn id="15" xr3:uid="{00000000-0010-0000-0300-00000F000000}" name="Industry"/>
    <tableColumn id="16" xr3:uid="{00000000-0010-0000-0300-000010000000}" name="Segment"/>
    <tableColumn id="17" xr3:uid="{00000000-0010-0000-0300-000011000000}" name="Product Name"/>
    <tableColumn id="18" xr3:uid="{00000000-0010-0000-0300-000012000000}" name="Category"/>
    <tableColumn id="19" xr3:uid="{00000000-0010-0000-0300-000013000000}" name="Sales Rep"/>
    <tableColumn id="20" xr3:uid="{00000000-0010-0000-0300-000014000000}" name="Rep Reg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OrdersSolutionTable" displayName="OrdersSolutionTable" ref="A3:T183">
  <tableColumns count="20">
    <tableColumn id="1" xr3:uid="{00000000-0010-0000-0400-000001000000}" name="Order ID"/>
    <tableColumn id="2" xr3:uid="{00000000-0010-0000-0400-000002000000}" name="Order Date"/>
    <tableColumn id="3" xr3:uid="{00000000-0010-0000-0400-000003000000}" name="Customer ID"/>
    <tableColumn id="4" xr3:uid="{00000000-0010-0000-0400-000004000000}" name="Product ID"/>
    <tableColumn id="5" xr3:uid="{00000000-0010-0000-0400-000005000000}" name="Rep ID"/>
    <tableColumn id="6" xr3:uid="{00000000-0010-0000-0400-000006000000}" name="Quantity"/>
    <tableColumn id="7" xr3:uid="{00000000-0010-0000-0400-000007000000}" name="Unit Price"/>
    <tableColumn id="8" xr3:uid="{00000000-0010-0000-0400-000008000000}" name="Discount"/>
    <tableColumn id="9" xr3:uid="{00000000-0010-0000-0400-000009000000}" name="Revenue"/>
    <tableColumn id="10" xr3:uid="{00000000-0010-0000-0400-00000A000000}" name="Profit"/>
    <tableColumn id="11" xr3:uid="{00000000-0010-0000-0400-00000B000000}" name="Status"/>
    <tableColumn id="12" xr3:uid="{00000000-0010-0000-0400-00000C000000}" name="Customer Name"/>
    <tableColumn id="13" xr3:uid="{00000000-0010-0000-0400-00000D000000}" name="State"/>
    <tableColumn id="14" xr3:uid="{00000000-0010-0000-0400-00000E000000}" name="Region"/>
    <tableColumn id="15" xr3:uid="{00000000-0010-0000-0400-00000F000000}" name="Industry"/>
    <tableColumn id="16" xr3:uid="{00000000-0010-0000-0400-000010000000}" name="Segment"/>
    <tableColumn id="17" xr3:uid="{00000000-0010-0000-0400-000011000000}" name="Product Name"/>
    <tableColumn id="18" xr3:uid="{00000000-0010-0000-0400-000012000000}" name="Category"/>
    <tableColumn id="19" xr3:uid="{00000000-0010-0000-0400-000013000000}" name="Sales Rep"/>
    <tableColumn id="20" xr3:uid="{00000000-0010-0000-0400-000014000000}" name="Rep 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0"/>
  <sheetViews>
    <sheetView topLeftCell="A4" workbookViewId="0">
      <selection sqref="A1:H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0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9.25">
      <c r="A3" s="1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6.25">
      <c r="A4" s="1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9">
      <c r="A5" s="1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00.5">
      <c r="A6" s="1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95" customHeight="1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3" t="s">
        <v>14</v>
      </c>
      <c r="G9" s="3" t="s">
        <v>15</v>
      </c>
      <c r="H9" s="3" t="s">
        <v>16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2" t="s">
        <v>17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2" t="s">
        <v>24</v>
      </c>
      <c r="B11" s="2" t="s">
        <v>18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>
      <c r="A12" s="2" t="s">
        <v>30</v>
      </c>
      <c r="B12" s="2" t="s">
        <v>18</v>
      </c>
      <c r="C12" s="2" t="s">
        <v>31</v>
      </c>
      <c r="D12" s="2" t="s">
        <v>32</v>
      </c>
      <c r="E12" s="2" t="s">
        <v>33</v>
      </c>
      <c r="F12" s="2" t="s">
        <v>34</v>
      </c>
      <c r="G12" s="2" t="s">
        <v>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>
      <c r="A13" s="2" t="s">
        <v>36</v>
      </c>
      <c r="B13" s="2" t="s">
        <v>18</v>
      </c>
      <c r="C13" s="2" t="s">
        <v>37</v>
      </c>
      <c r="D13" s="2" t="s">
        <v>38</v>
      </c>
      <c r="E13" s="2" t="s">
        <v>39</v>
      </c>
      <c r="F13" s="2" t="s">
        <v>40</v>
      </c>
      <c r="G13" s="2" t="s">
        <v>41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42.75">
      <c r="A14" s="2" t="s">
        <v>42</v>
      </c>
      <c r="B14" s="2" t="s">
        <v>18</v>
      </c>
      <c r="C14" s="2" t="s">
        <v>43</v>
      </c>
      <c r="D14" s="2" t="s">
        <v>44</v>
      </c>
      <c r="E14" s="2" t="s">
        <v>45</v>
      </c>
      <c r="F14" s="2" t="s">
        <v>46</v>
      </c>
      <c r="G14" s="2" t="s">
        <v>47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42.7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  <c r="F15" s="2" t="s">
        <v>53</v>
      </c>
      <c r="G15" s="2" t="s">
        <v>54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0"/>
  <sheetViews>
    <sheetView workbookViewId="0">
      <selection sqref="A1:F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55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56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">
      <c r="A4" s="2" t="s">
        <v>62</v>
      </c>
      <c r="B4" s="2" t="s">
        <v>63</v>
      </c>
      <c r="C4" s="2" t="s">
        <v>64</v>
      </c>
      <c r="D4" s="2" t="s">
        <v>65</v>
      </c>
      <c r="E4" s="2" t="s">
        <v>66</v>
      </c>
      <c r="F4" s="2" t="s">
        <v>67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2" t="s">
        <v>62</v>
      </c>
      <c r="B5" s="2" t="s">
        <v>68</v>
      </c>
      <c r="C5" s="2" t="s">
        <v>69</v>
      </c>
      <c r="D5" s="2" t="s">
        <v>70</v>
      </c>
      <c r="E5" s="2" t="s">
        <v>71</v>
      </c>
      <c r="F5" s="2" t="s">
        <v>72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2" t="s">
        <v>62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2" t="s">
        <v>62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8.5">
      <c r="A8" s="2" t="s">
        <v>62</v>
      </c>
      <c r="B8" s="2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>
      <c r="A9" s="2" t="s">
        <v>87</v>
      </c>
      <c r="B9" s="2" t="s">
        <v>88</v>
      </c>
      <c r="C9" s="2" t="s">
        <v>89</v>
      </c>
      <c r="D9" s="2" t="s">
        <v>90</v>
      </c>
      <c r="E9" s="2" t="s">
        <v>91</v>
      </c>
      <c r="F9" s="2" t="s">
        <v>92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2" t="s">
        <v>93</v>
      </c>
      <c r="B10" s="2" t="s">
        <v>94</v>
      </c>
      <c r="C10" s="2" t="s">
        <v>95</v>
      </c>
      <c r="D10" s="2" t="s">
        <v>96</v>
      </c>
      <c r="E10" s="2" t="s">
        <v>97</v>
      </c>
      <c r="F10" s="2" t="s">
        <v>98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20"/>
  <sheetViews>
    <sheetView workbookViewId="0">
      <selection activeCell="D12" sqref="D12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99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63</v>
      </c>
      <c r="B3" s="3" t="s">
        <v>100</v>
      </c>
      <c r="C3" s="3" t="s">
        <v>101</v>
      </c>
      <c r="D3" s="3" t="s">
        <v>102</v>
      </c>
      <c r="E3" s="3" t="s">
        <v>88</v>
      </c>
      <c r="F3" s="3" t="s">
        <v>103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5">
      <c r="A4" s="2" t="s">
        <v>65</v>
      </c>
      <c r="B4" s="2" t="s">
        <v>104</v>
      </c>
      <c r="C4" s="2" t="s">
        <v>105</v>
      </c>
      <c r="D4" s="2" t="s">
        <v>96</v>
      </c>
      <c r="E4" s="2" t="s">
        <v>106</v>
      </c>
      <c r="F4" s="2" t="s">
        <v>107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108</v>
      </c>
      <c r="B5" s="2" t="s">
        <v>109</v>
      </c>
      <c r="C5" s="2" t="s">
        <v>110</v>
      </c>
      <c r="D5" s="2" t="s">
        <v>111</v>
      </c>
      <c r="E5" s="2" t="s">
        <v>112</v>
      </c>
      <c r="F5" s="2" t="s">
        <v>113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2" t="s">
        <v>114</v>
      </c>
      <c r="B6" s="2" t="s">
        <v>115</v>
      </c>
      <c r="C6" s="2" t="s">
        <v>116</v>
      </c>
      <c r="D6" s="2" t="s">
        <v>117</v>
      </c>
      <c r="E6" s="2" t="s">
        <v>90</v>
      </c>
      <c r="F6" s="2" t="s">
        <v>107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118</v>
      </c>
      <c r="B7" s="2" t="s">
        <v>119</v>
      </c>
      <c r="C7" s="2" t="s">
        <v>120</v>
      </c>
      <c r="D7" s="2" t="s">
        <v>96</v>
      </c>
      <c r="E7" s="2" t="s">
        <v>121</v>
      </c>
      <c r="F7" s="2" t="s">
        <v>113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122</v>
      </c>
      <c r="B8" s="2" t="s">
        <v>123</v>
      </c>
      <c r="C8" s="2" t="s">
        <v>124</v>
      </c>
      <c r="D8" s="2" t="s">
        <v>96</v>
      </c>
      <c r="E8" s="2" t="s">
        <v>90</v>
      </c>
      <c r="F8" s="2" t="s">
        <v>113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125</v>
      </c>
      <c r="B9" s="2" t="s">
        <v>126</v>
      </c>
      <c r="C9" s="2" t="s">
        <v>127</v>
      </c>
      <c r="D9" s="2" t="s">
        <v>117</v>
      </c>
      <c r="E9" s="2" t="s">
        <v>106</v>
      </c>
      <c r="F9" s="2" t="s">
        <v>107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128</v>
      </c>
      <c r="B10" s="2" t="s">
        <v>129</v>
      </c>
      <c r="C10" s="2" t="s">
        <v>130</v>
      </c>
      <c r="D10" s="2" t="s">
        <v>117</v>
      </c>
      <c r="E10" s="2" t="s">
        <v>121</v>
      </c>
      <c r="F10" s="2" t="s">
        <v>113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131</v>
      </c>
      <c r="B11" s="2" t="s">
        <v>132</v>
      </c>
      <c r="C11" s="2" t="s">
        <v>133</v>
      </c>
      <c r="D11" s="2" t="s">
        <v>134</v>
      </c>
      <c r="E11" s="2" t="s">
        <v>135</v>
      </c>
      <c r="F11" s="2" t="s">
        <v>113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2" t="s">
        <v>136</v>
      </c>
      <c r="B12" s="2" t="s">
        <v>137</v>
      </c>
      <c r="C12" s="2" t="s">
        <v>138</v>
      </c>
      <c r="D12" s="2" t="s">
        <v>117</v>
      </c>
      <c r="E12" s="2" t="s">
        <v>121</v>
      </c>
      <c r="F12" s="2" t="s">
        <v>139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140</v>
      </c>
      <c r="B13" s="2" t="s">
        <v>141</v>
      </c>
      <c r="C13" s="2" t="s">
        <v>110</v>
      </c>
      <c r="D13" s="2" t="s">
        <v>111</v>
      </c>
      <c r="E13" s="2" t="s">
        <v>142</v>
      </c>
      <c r="F13" s="2" t="s">
        <v>113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143</v>
      </c>
      <c r="B14" s="2" t="s">
        <v>144</v>
      </c>
      <c r="C14" s="2" t="s">
        <v>145</v>
      </c>
      <c r="D14" s="2" t="s">
        <v>111</v>
      </c>
      <c r="E14" s="2" t="s">
        <v>90</v>
      </c>
      <c r="F14" s="2" t="s">
        <v>113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>
      <c r="A15" s="2" t="s">
        <v>146</v>
      </c>
      <c r="B15" s="2" t="s">
        <v>147</v>
      </c>
      <c r="C15" s="2" t="s">
        <v>148</v>
      </c>
      <c r="D15" s="2" t="s">
        <v>134</v>
      </c>
      <c r="E15" s="2" t="s">
        <v>90</v>
      </c>
      <c r="F15" s="2" t="s">
        <v>139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149</v>
      </c>
      <c r="B16" s="2" t="s">
        <v>150</v>
      </c>
      <c r="C16" s="2" t="s">
        <v>151</v>
      </c>
      <c r="D16" s="2" t="s">
        <v>111</v>
      </c>
      <c r="E16" s="2" t="s">
        <v>135</v>
      </c>
      <c r="F16" s="2" t="s">
        <v>113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152</v>
      </c>
      <c r="B17" s="2" t="s">
        <v>153</v>
      </c>
      <c r="C17" s="2" t="s">
        <v>133</v>
      </c>
      <c r="D17" s="2" t="s">
        <v>134</v>
      </c>
      <c r="E17" s="2" t="s">
        <v>90</v>
      </c>
      <c r="F17" s="2" t="s">
        <v>139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154</v>
      </c>
      <c r="B18" s="2" t="s">
        <v>155</v>
      </c>
      <c r="C18" s="2" t="s">
        <v>120</v>
      </c>
      <c r="D18" s="2" t="s">
        <v>96</v>
      </c>
      <c r="E18" s="2" t="s">
        <v>135</v>
      </c>
      <c r="F18" s="2" t="s">
        <v>107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156</v>
      </c>
      <c r="B19" s="2" t="s">
        <v>157</v>
      </c>
      <c r="C19" s="2" t="s">
        <v>151</v>
      </c>
      <c r="D19" s="2" t="s">
        <v>111</v>
      </c>
      <c r="E19" s="2" t="s">
        <v>112</v>
      </c>
      <c r="F19" s="2" t="s">
        <v>107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158</v>
      </c>
      <c r="B20" s="2" t="s">
        <v>159</v>
      </c>
      <c r="C20" s="2" t="s">
        <v>120</v>
      </c>
      <c r="D20" s="2" t="s">
        <v>96</v>
      </c>
      <c r="E20" s="2" t="s">
        <v>106</v>
      </c>
      <c r="F20" s="2" t="s">
        <v>107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>
      <c r="A21" s="2" t="s">
        <v>160</v>
      </c>
      <c r="B21" s="2" t="s">
        <v>161</v>
      </c>
      <c r="C21" s="2" t="s">
        <v>127</v>
      </c>
      <c r="D21" s="2" t="s">
        <v>117</v>
      </c>
      <c r="E21" s="2" t="s">
        <v>135</v>
      </c>
      <c r="F21" s="2" t="s">
        <v>113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5">
      <c r="A22" s="2" t="s">
        <v>162</v>
      </c>
      <c r="B22" s="2" t="s">
        <v>163</v>
      </c>
      <c r="C22" s="2" t="s">
        <v>127</v>
      </c>
      <c r="D22" s="2" t="s">
        <v>117</v>
      </c>
      <c r="E22" s="2" t="s">
        <v>90</v>
      </c>
      <c r="F22" s="2" t="s">
        <v>139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164</v>
      </c>
      <c r="B23" s="2" t="s">
        <v>165</v>
      </c>
      <c r="C23" s="2" t="s">
        <v>110</v>
      </c>
      <c r="D23" s="2" t="s">
        <v>111</v>
      </c>
      <c r="E23" s="2" t="s">
        <v>166</v>
      </c>
      <c r="F23" s="2" t="s">
        <v>107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167</v>
      </c>
      <c r="B24" s="2" t="s">
        <v>168</v>
      </c>
      <c r="C24" s="2" t="s">
        <v>151</v>
      </c>
      <c r="D24" s="2" t="s">
        <v>111</v>
      </c>
      <c r="E24" s="2" t="s">
        <v>142</v>
      </c>
      <c r="F24" s="2" t="s">
        <v>139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169</v>
      </c>
      <c r="B25" s="2" t="s">
        <v>170</v>
      </c>
      <c r="C25" s="2" t="s">
        <v>151</v>
      </c>
      <c r="D25" s="2" t="s">
        <v>111</v>
      </c>
      <c r="E25" s="2" t="s">
        <v>112</v>
      </c>
      <c r="F25" s="2" t="s">
        <v>107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>
      <c r="A26" s="2" t="s">
        <v>171</v>
      </c>
      <c r="B26" s="2" t="s">
        <v>172</v>
      </c>
      <c r="C26" s="2" t="s">
        <v>110</v>
      </c>
      <c r="D26" s="2" t="s">
        <v>111</v>
      </c>
      <c r="E26" s="2" t="s">
        <v>90</v>
      </c>
      <c r="F26" s="2" t="s">
        <v>107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 t="s">
        <v>173</v>
      </c>
      <c r="B27" s="2" t="s">
        <v>174</v>
      </c>
      <c r="C27" s="2" t="s">
        <v>138</v>
      </c>
      <c r="D27" s="2" t="s">
        <v>117</v>
      </c>
      <c r="E27" s="2" t="s">
        <v>112</v>
      </c>
      <c r="F27" s="2" t="s">
        <v>113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 t="s">
        <v>175</v>
      </c>
      <c r="B28" s="2" t="s">
        <v>176</v>
      </c>
      <c r="C28" s="2" t="s">
        <v>133</v>
      </c>
      <c r="D28" s="2" t="s">
        <v>134</v>
      </c>
      <c r="E28" s="2" t="s">
        <v>121</v>
      </c>
      <c r="F28" s="2" t="s">
        <v>139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177</v>
      </c>
      <c r="B29" s="2" t="s">
        <v>178</v>
      </c>
      <c r="C29" s="2" t="s">
        <v>127</v>
      </c>
      <c r="D29" s="2" t="s">
        <v>117</v>
      </c>
      <c r="E29" s="2" t="s">
        <v>179</v>
      </c>
      <c r="F29" s="2" t="s">
        <v>113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 t="s">
        <v>180</v>
      </c>
      <c r="B30" s="2" t="s">
        <v>181</v>
      </c>
      <c r="C30" s="2" t="s">
        <v>127</v>
      </c>
      <c r="D30" s="2" t="s">
        <v>117</v>
      </c>
      <c r="E30" s="2" t="s">
        <v>106</v>
      </c>
      <c r="F30" s="2" t="s">
        <v>139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 t="s">
        <v>182</v>
      </c>
      <c r="B31" s="2" t="s">
        <v>183</v>
      </c>
      <c r="C31" s="2" t="s">
        <v>148</v>
      </c>
      <c r="D31" s="2" t="s">
        <v>134</v>
      </c>
      <c r="E31" s="2" t="s">
        <v>135</v>
      </c>
      <c r="F31" s="2" t="s">
        <v>113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8.5">
      <c r="A32" s="2" t="s">
        <v>184</v>
      </c>
      <c r="B32" s="2" t="s">
        <v>185</v>
      </c>
      <c r="C32" s="2" t="s">
        <v>130</v>
      </c>
      <c r="D32" s="2" t="s">
        <v>117</v>
      </c>
      <c r="E32" s="2" t="s">
        <v>179</v>
      </c>
      <c r="F32" s="2" t="s">
        <v>113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8.5">
      <c r="A33" s="2" t="s">
        <v>186</v>
      </c>
      <c r="B33" s="2" t="s">
        <v>187</v>
      </c>
      <c r="C33" s="2" t="s">
        <v>188</v>
      </c>
      <c r="D33" s="2" t="s">
        <v>134</v>
      </c>
      <c r="E33" s="2" t="s">
        <v>121</v>
      </c>
      <c r="F33" s="2" t="s">
        <v>107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8.5">
      <c r="A34" s="2" t="s">
        <v>189</v>
      </c>
      <c r="B34" s="2" t="s">
        <v>190</v>
      </c>
      <c r="C34" s="2" t="s">
        <v>133</v>
      </c>
      <c r="D34" s="2" t="s">
        <v>134</v>
      </c>
      <c r="E34" s="2" t="s">
        <v>142</v>
      </c>
      <c r="F34" s="2" t="s">
        <v>139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28.5">
      <c r="A35" s="2" t="s">
        <v>191</v>
      </c>
      <c r="B35" s="2" t="s">
        <v>192</v>
      </c>
      <c r="C35" s="2" t="s">
        <v>116</v>
      </c>
      <c r="D35" s="2" t="s">
        <v>117</v>
      </c>
      <c r="E35" s="2" t="s">
        <v>112</v>
      </c>
      <c r="F35" s="2" t="s">
        <v>107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28.5">
      <c r="A36" s="2" t="s">
        <v>193</v>
      </c>
      <c r="B36" s="2" t="s">
        <v>194</v>
      </c>
      <c r="C36" s="2" t="s">
        <v>110</v>
      </c>
      <c r="D36" s="2" t="s">
        <v>111</v>
      </c>
      <c r="E36" s="2" t="s">
        <v>121</v>
      </c>
      <c r="F36" s="2" t="s">
        <v>107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195</v>
      </c>
      <c r="B37" s="2" t="s">
        <v>196</v>
      </c>
      <c r="C37" s="2" t="s">
        <v>148</v>
      </c>
      <c r="D37" s="2" t="s">
        <v>134</v>
      </c>
      <c r="E37" s="2" t="s">
        <v>179</v>
      </c>
      <c r="F37" s="2" t="s">
        <v>113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28.5">
      <c r="A38" s="2" t="s">
        <v>197</v>
      </c>
      <c r="B38" s="2" t="s">
        <v>198</v>
      </c>
      <c r="C38" s="2" t="s">
        <v>116</v>
      </c>
      <c r="D38" s="2" t="s">
        <v>117</v>
      </c>
      <c r="E38" s="2" t="s">
        <v>166</v>
      </c>
      <c r="F38" s="2" t="s">
        <v>113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 t="s">
        <v>199</v>
      </c>
      <c r="B39" s="2" t="s">
        <v>200</v>
      </c>
      <c r="C39" s="2" t="s">
        <v>201</v>
      </c>
      <c r="D39" s="2" t="s">
        <v>96</v>
      </c>
      <c r="E39" s="2" t="s">
        <v>90</v>
      </c>
      <c r="F39" s="2" t="s">
        <v>113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202</v>
      </c>
      <c r="B40" s="2" t="s">
        <v>203</v>
      </c>
      <c r="C40" s="2" t="s">
        <v>138</v>
      </c>
      <c r="D40" s="2" t="s">
        <v>117</v>
      </c>
      <c r="E40" s="2" t="s">
        <v>121</v>
      </c>
      <c r="F40" s="2" t="s">
        <v>107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8.5">
      <c r="A41" s="2" t="s">
        <v>204</v>
      </c>
      <c r="B41" s="2" t="s">
        <v>205</v>
      </c>
      <c r="C41" s="2" t="s">
        <v>120</v>
      </c>
      <c r="D41" s="2" t="s">
        <v>96</v>
      </c>
      <c r="E41" s="2" t="s">
        <v>121</v>
      </c>
      <c r="F41" s="2" t="s">
        <v>139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206</v>
      </c>
      <c r="B42" s="2" t="s">
        <v>207</v>
      </c>
      <c r="C42" s="2" t="s">
        <v>133</v>
      </c>
      <c r="D42" s="2" t="s">
        <v>134</v>
      </c>
      <c r="E42" s="2" t="s">
        <v>135</v>
      </c>
      <c r="F42" s="2" t="s">
        <v>107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28.5">
      <c r="A43" s="2" t="s">
        <v>208</v>
      </c>
      <c r="B43" s="2" t="s">
        <v>209</v>
      </c>
      <c r="C43" s="2" t="s">
        <v>124</v>
      </c>
      <c r="D43" s="2" t="s">
        <v>96</v>
      </c>
      <c r="E43" s="2" t="s">
        <v>90</v>
      </c>
      <c r="F43" s="2" t="s">
        <v>107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28.5">
      <c r="A44" s="2" t="s">
        <v>210</v>
      </c>
      <c r="B44" s="2" t="s">
        <v>211</v>
      </c>
      <c r="C44" s="2" t="s">
        <v>110</v>
      </c>
      <c r="D44" s="2" t="s">
        <v>111</v>
      </c>
      <c r="E44" s="2" t="s">
        <v>179</v>
      </c>
      <c r="F44" s="2" t="s">
        <v>113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28.5">
      <c r="A45" s="2" t="s">
        <v>212</v>
      </c>
      <c r="B45" s="2" t="s">
        <v>213</v>
      </c>
      <c r="C45" s="2" t="s">
        <v>214</v>
      </c>
      <c r="D45" s="2" t="s">
        <v>111</v>
      </c>
      <c r="E45" s="2" t="s">
        <v>121</v>
      </c>
      <c r="F45" s="2" t="s">
        <v>113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215</v>
      </c>
      <c r="B46" s="2" t="s">
        <v>216</v>
      </c>
      <c r="C46" s="2" t="s">
        <v>133</v>
      </c>
      <c r="D46" s="2" t="s">
        <v>134</v>
      </c>
      <c r="E46" s="2" t="s">
        <v>106</v>
      </c>
      <c r="F46" s="2" t="s">
        <v>107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217</v>
      </c>
      <c r="B47" s="2" t="s">
        <v>218</v>
      </c>
      <c r="C47" s="2" t="s">
        <v>110</v>
      </c>
      <c r="D47" s="2" t="s">
        <v>111</v>
      </c>
      <c r="E47" s="2" t="s">
        <v>142</v>
      </c>
      <c r="F47" s="2" t="s">
        <v>107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 t="s">
        <v>219</v>
      </c>
      <c r="B48" s="2" t="s">
        <v>220</v>
      </c>
      <c r="C48" s="2" t="s">
        <v>105</v>
      </c>
      <c r="D48" s="2" t="s">
        <v>96</v>
      </c>
      <c r="E48" s="2" t="s">
        <v>135</v>
      </c>
      <c r="F48" s="2" t="s">
        <v>107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28.5">
      <c r="A49" s="2" t="s">
        <v>221</v>
      </c>
      <c r="B49" s="2" t="s">
        <v>222</v>
      </c>
      <c r="C49" s="2" t="s">
        <v>130</v>
      </c>
      <c r="D49" s="2" t="s">
        <v>117</v>
      </c>
      <c r="E49" s="2" t="s">
        <v>142</v>
      </c>
      <c r="F49" s="2" t="s">
        <v>139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8.5">
      <c r="A50" s="2" t="s">
        <v>223</v>
      </c>
      <c r="B50" s="2" t="s">
        <v>224</v>
      </c>
      <c r="C50" s="2" t="s">
        <v>138</v>
      </c>
      <c r="D50" s="2" t="s">
        <v>117</v>
      </c>
      <c r="E50" s="2" t="s">
        <v>106</v>
      </c>
      <c r="F50" s="2" t="s">
        <v>107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28.5">
      <c r="A51" s="2" t="s">
        <v>225</v>
      </c>
      <c r="B51" s="2" t="s">
        <v>226</v>
      </c>
      <c r="C51" s="2" t="s">
        <v>145</v>
      </c>
      <c r="D51" s="2" t="s">
        <v>111</v>
      </c>
      <c r="E51" s="2" t="s">
        <v>166</v>
      </c>
      <c r="F51" s="2" t="s">
        <v>113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28.5">
      <c r="A52" s="2" t="s">
        <v>227</v>
      </c>
      <c r="B52" s="2" t="s">
        <v>228</v>
      </c>
      <c r="C52" s="2" t="s">
        <v>105</v>
      </c>
      <c r="D52" s="2" t="s">
        <v>96</v>
      </c>
      <c r="E52" s="2" t="s">
        <v>179</v>
      </c>
      <c r="F52" s="2" t="s">
        <v>139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229</v>
      </c>
      <c r="B53" s="2" t="s">
        <v>230</v>
      </c>
      <c r="C53" s="2" t="s">
        <v>127</v>
      </c>
      <c r="D53" s="2" t="s">
        <v>117</v>
      </c>
      <c r="E53" s="2" t="s">
        <v>106</v>
      </c>
      <c r="F53" s="2" t="s">
        <v>113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20"/>
  <sheetViews>
    <sheetView workbookViewId="0">
      <selection sqref="A1:E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231</v>
      </c>
      <c r="B1" s="9"/>
      <c r="C1" s="9"/>
      <c r="D1" s="9"/>
      <c r="E1" s="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68</v>
      </c>
      <c r="B3" s="3" t="s">
        <v>232</v>
      </c>
      <c r="C3" s="3" t="s">
        <v>233</v>
      </c>
      <c r="D3" s="3" t="s">
        <v>234</v>
      </c>
      <c r="E3" s="3" t="s">
        <v>235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70</v>
      </c>
      <c r="B4" s="2" t="s">
        <v>236</v>
      </c>
      <c r="C4" s="2" t="s">
        <v>237</v>
      </c>
      <c r="D4" s="4">
        <v>1200</v>
      </c>
      <c r="E4" s="5">
        <v>0.28000000000000003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238</v>
      </c>
      <c r="B5" s="2" t="s">
        <v>239</v>
      </c>
      <c r="C5" s="2" t="s">
        <v>237</v>
      </c>
      <c r="D5" s="4">
        <v>1800</v>
      </c>
      <c r="E5" s="5">
        <v>0.25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240</v>
      </c>
      <c r="B6" s="2" t="s">
        <v>241</v>
      </c>
      <c r="C6" s="2" t="s">
        <v>237</v>
      </c>
      <c r="D6" s="4">
        <v>300</v>
      </c>
      <c r="E6" s="5">
        <v>0.3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2" t="s">
        <v>242</v>
      </c>
      <c r="B7" s="2" t="s">
        <v>243</v>
      </c>
      <c r="C7" s="2" t="s">
        <v>244</v>
      </c>
      <c r="D7" s="4">
        <v>70</v>
      </c>
      <c r="E7" s="5">
        <v>0.4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245</v>
      </c>
      <c r="B8" s="2" t="s">
        <v>246</v>
      </c>
      <c r="C8" s="2" t="s">
        <v>244</v>
      </c>
      <c r="D8" s="4">
        <v>35</v>
      </c>
      <c r="E8" s="5">
        <v>0.42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8.5">
      <c r="A9" s="2" t="s">
        <v>247</v>
      </c>
      <c r="B9" s="2" t="s">
        <v>248</v>
      </c>
      <c r="C9" s="2" t="s">
        <v>244</v>
      </c>
      <c r="D9" s="4">
        <v>250</v>
      </c>
      <c r="E9" s="5">
        <v>0.35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249</v>
      </c>
      <c r="B10" s="2" t="s">
        <v>250</v>
      </c>
      <c r="C10" s="2" t="s">
        <v>251</v>
      </c>
      <c r="D10" s="4">
        <v>600</v>
      </c>
      <c r="E10" s="5">
        <v>0.65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2" t="s">
        <v>252</v>
      </c>
      <c r="B11" s="2" t="s">
        <v>253</v>
      </c>
      <c r="C11" s="2" t="s">
        <v>251</v>
      </c>
      <c r="D11" s="4">
        <v>900</v>
      </c>
      <c r="E11" s="5">
        <v>0.7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2" t="s">
        <v>254</v>
      </c>
      <c r="B12" s="2" t="s">
        <v>255</v>
      </c>
      <c r="C12" s="2" t="s">
        <v>256</v>
      </c>
      <c r="D12" s="4">
        <v>3500</v>
      </c>
      <c r="E12" s="5">
        <v>0.55000000000000004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257</v>
      </c>
      <c r="B13" s="2" t="s">
        <v>258</v>
      </c>
      <c r="C13" s="2" t="s">
        <v>256</v>
      </c>
      <c r="D13" s="4">
        <v>1200</v>
      </c>
      <c r="E13" s="5">
        <v>0.6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>
      <c r="A14" s="2" t="s">
        <v>259</v>
      </c>
      <c r="B14" s="2" t="s">
        <v>260</v>
      </c>
      <c r="C14" s="2" t="s">
        <v>251</v>
      </c>
      <c r="D14" s="4">
        <v>450</v>
      </c>
      <c r="E14" s="5">
        <v>0.62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8.5">
      <c r="A15" s="2" t="s">
        <v>261</v>
      </c>
      <c r="B15" s="2" t="s">
        <v>262</v>
      </c>
      <c r="C15" s="2" t="s">
        <v>256</v>
      </c>
      <c r="D15" s="4">
        <v>2200</v>
      </c>
      <c r="E15" s="5">
        <v>0.5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 t="s">
        <v>263</v>
      </c>
      <c r="B16" s="2" t="s">
        <v>264</v>
      </c>
      <c r="C16" s="2" t="s">
        <v>237</v>
      </c>
      <c r="D16" s="4">
        <v>800</v>
      </c>
      <c r="E16" s="5">
        <v>0.27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8.5">
      <c r="A17" s="2" t="s">
        <v>265</v>
      </c>
      <c r="B17" s="2" t="s">
        <v>266</v>
      </c>
      <c r="C17" s="2" t="s">
        <v>237</v>
      </c>
      <c r="D17" s="4">
        <v>650</v>
      </c>
      <c r="E17" s="5">
        <v>0.32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267</v>
      </c>
      <c r="B18" s="2" t="s">
        <v>268</v>
      </c>
      <c r="C18" s="2" t="s">
        <v>244</v>
      </c>
      <c r="D18" s="4">
        <v>120</v>
      </c>
      <c r="E18" s="5">
        <v>0.38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269</v>
      </c>
      <c r="B19" s="2" t="s">
        <v>270</v>
      </c>
      <c r="C19" s="2" t="s">
        <v>251</v>
      </c>
      <c r="D19" s="4">
        <v>1100</v>
      </c>
      <c r="E19" s="5">
        <v>0.68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>
      <c r="A20" s="2" t="s">
        <v>271</v>
      </c>
      <c r="B20" s="2" t="s">
        <v>272</v>
      </c>
      <c r="C20" s="2" t="s">
        <v>256</v>
      </c>
      <c r="D20" s="4">
        <v>2800</v>
      </c>
      <c r="E20" s="5">
        <v>0.52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>
      <c r="A21" s="2" t="s">
        <v>273</v>
      </c>
      <c r="B21" s="2" t="s">
        <v>274</v>
      </c>
      <c r="C21" s="2" t="s">
        <v>251</v>
      </c>
      <c r="D21" s="4">
        <v>350</v>
      </c>
      <c r="E21" s="5">
        <v>0.57999999999999996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275</v>
      </c>
      <c r="B22" s="2" t="s">
        <v>276</v>
      </c>
      <c r="C22" s="2" t="s">
        <v>237</v>
      </c>
      <c r="D22" s="4">
        <v>450</v>
      </c>
      <c r="E22" s="5">
        <v>0.22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277</v>
      </c>
      <c r="B23" s="2" t="s">
        <v>278</v>
      </c>
      <c r="C23" s="2" t="s">
        <v>237</v>
      </c>
      <c r="D23" s="4">
        <v>900</v>
      </c>
      <c r="E23" s="5">
        <v>0.26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20"/>
  <sheetViews>
    <sheetView workbookViewId="0">
      <selection sqref="A1:D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279</v>
      </c>
      <c r="B1" s="9"/>
      <c r="C1" s="9"/>
      <c r="D1" s="9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73</v>
      </c>
      <c r="B3" s="3" t="s">
        <v>280</v>
      </c>
      <c r="C3" s="3" t="s">
        <v>94</v>
      </c>
      <c r="D3" s="3" t="s">
        <v>281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75</v>
      </c>
      <c r="B4" s="2" t="s">
        <v>282</v>
      </c>
      <c r="C4" s="2" t="s">
        <v>96</v>
      </c>
      <c r="D4" s="2" t="s">
        <v>283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284</v>
      </c>
      <c r="B5" s="2" t="s">
        <v>285</v>
      </c>
      <c r="C5" s="2" t="s">
        <v>117</v>
      </c>
      <c r="D5" s="2" t="s">
        <v>286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287</v>
      </c>
      <c r="B6" s="2" t="s">
        <v>288</v>
      </c>
      <c r="C6" s="2" t="s">
        <v>134</v>
      </c>
      <c r="D6" s="2" t="s">
        <v>289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290</v>
      </c>
      <c r="B7" s="2" t="s">
        <v>291</v>
      </c>
      <c r="C7" s="2" t="s">
        <v>111</v>
      </c>
      <c r="D7" s="2" t="s">
        <v>283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292</v>
      </c>
      <c r="B8" s="2" t="s">
        <v>293</v>
      </c>
      <c r="C8" s="2" t="s">
        <v>96</v>
      </c>
      <c r="D8" s="2" t="s">
        <v>286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 t="s">
        <v>294</v>
      </c>
      <c r="B9" s="2" t="s">
        <v>295</v>
      </c>
      <c r="C9" s="2" t="s">
        <v>117</v>
      </c>
      <c r="D9" s="2" t="s">
        <v>289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 t="s">
        <v>296</v>
      </c>
      <c r="B10" s="2" t="s">
        <v>297</v>
      </c>
      <c r="C10" s="2" t="s">
        <v>134</v>
      </c>
      <c r="D10" s="2" t="s">
        <v>283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298</v>
      </c>
      <c r="B11" s="2" t="s">
        <v>299</v>
      </c>
      <c r="C11" s="2" t="s">
        <v>111</v>
      </c>
      <c r="D11" s="2" t="s">
        <v>286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20"/>
  <sheetViews>
    <sheetView workbookViewId="0">
      <selection sqref="A1:T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300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301</v>
      </c>
      <c r="B3" s="3" t="s">
        <v>302</v>
      </c>
      <c r="C3" s="3" t="s">
        <v>63</v>
      </c>
      <c r="D3" s="3" t="s">
        <v>68</v>
      </c>
      <c r="E3" s="3" t="s">
        <v>73</v>
      </c>
      <c r="F3" s="3" t="s">
        <v>303</v>
      </c>
      <c r="G3" s="3" t="s">
        <v>234</v>
      </c>
      <c r="H3" s="3" t="s">
        <v>304</v>
      </c>
      <c r="I3" s="3" t="s">
        <v>77</v>
      </c>
      <c r="J3" s="3" t="s">
        <v>82</v>
      </c>
      <c r="K3" s="3" t="s">
        <v>10</v>
      </c>
      <c r="L3" s="3" t="s">
        <v>100</v>
      </c>
      <c r="M3" s="3" t="s">
        <v>101</v>
      </c>
      <c r="N3" s="3" t="s">
        <v>102</v>
      </c>
      <c r="O3" s="3" t="s">
        <v>88</v>
      </c>
      <c r="P3" s="3" t="s">
        <v>103</v>
      </c>
      <c r="Q3" s="3" t="s">
        <v>232</v>
      </c>
      <c r="R3" s="3" t="s">
        <v>233</v>
      </c>
      <c r="S3" s="3" t="s">
        <v>280</v>
      </c>
      <c r="T3" s="3" t="s">
        <v>94</v>
      </c>
      <c r="U3" s="2"/>
      <c r="V3" s="2"/>
      <c r="W3" s="2"/>
      <c r="X3" s="2"/>
      <c r="Y3" s="2"/>
      <c r="Z3" s="2"/>
    </row>
    <row r="4" spans="1:26">
      <c r="A4" s="2" t="s">
        <v>305</v>
      </c>
      <c r="B4" s="6">
        <v>46055</v>
      </c>
      <c r="C4" s="2" t="s">
        <v>202</v>
      </c>
      <c r="D4" s="2" t="s">
        <v>240</v>
      </c>
      <c r="E4" s="2" t="s">
        <v>294</v>
      </c>
      <c r="F4" s="2">
        <v>2</v>
      </c>
      <c r="G4" s="4">
        <v>300</v>
      </c>
      <c r="H4" s="5">
        <v>0.1</v>
      </c>
      <c r="I4" s="4">
        <v>540</v>
      </c>
      <c r="J4" s="4">
        <v>162</v>
      </c>
      <c r="K4" s="2" t="s">
        <v>306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307</v>
      </c>
      <c r="B5" s="6">
        <v>46131</v>
      </c>
      <c r="C5" s="2" t="s">
        <v>215</v>
      </c>
      <c r="D5" s="2" t="s">
        <v>269</v>
      </c>
      <c r="E5" s="2" t="s">
        <v>287</v>
      </c>
      <c r="F5" s="2">
        <v>5</v>
      </c>
      <c r="G5" s="4">
        <v>1100</v>
      </c>
      <c r="H5" s="5">
        <v>0.1</v>
      </c>
      <c r="I5" s="4">
        <v>4950</v>
      </c>
      <c r="J5" s="4">
        <v>3366</v>
      </c>
      <c r="K5" s="2" t="s">
        <v>306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308</v>
      </c>
      <c r="B6" s="6">
        <v>46155</v>
      </c>
      <c r="C6" s="2" t="s">
        <v>197</v>
      </c>
      <c r="D6" s="2" t="s">
        <v>249</v>
      </c>
      <c r="E6" s="2" t="s">
        <v>294</v>
      </c>
      <c r="F6" s="2">
        <v>6</v>
      </c>
      <c r="G6" s="4">
        <v>600</v>
      </c>
      <c r="H6" s="5">
        <v>0.05</v>
      </c>
      <c r="I6" s="4">
        <v>3420</v>
      </c>
      <c r="J6" s="4">
        <v>2223</v>
      </c>
      <c r="K6" s="2" t="s">
        <v>309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310</v>
      </c>
      <c r="B7" s="6">
        <v>46164</v>
      </c>
      <c r="C7" s="2" t="s">
        <v>131</v>
      </c>
      <c r="D7" s="2" t="s">
        <v>252</v>
      </c>
      <c r="E7" s="2" t="s">
        <v>296</v>
      </c>
      <c r="F7" s="2">
        <v>1</v>
      </c>
      <c r="G7" s="4">
        <v>900</v>
      </c>
      <c r="H7" s="5">
        <v>0.1</v>
      </c>
      <c r="I7" s="4">
        <v>810</v>
      </c>
      <c r="J7" s="4">
        <v>567</v>
      </c>
      <c r="K7" s="2" t="s">
        <v>306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311</v>
      </c>
      <c r="B8" s="6">
        <v>46031</v>
      </c>
      <c r="C8" s="2" t="s">
        <v>204</v>
      </c>
      <c r="D8" s="2" t="s">
        <v>252</v>
      </c>
      <c r="E8" s="2" t="s">
        <v>75</v>
      </c>
      <c r="F8" s="2">
        <v>4</v>
      </c>
      <c r="G8" s="4">
        <v>900</v>
      </c>
      <c r="H8" s="5">
        <v>0</v>
      </c>
      <c r="I8" s="4">
        <v>3600</v>
      </c>
      <c r="J8" s="4">
        <v>2520</v>
      </c>
      <c r="K8" s="2" t="s">
        <v>306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2" t="s">
        <v>312</v>
      </c>
      <c r="B9" s="6">
        <v>46056</v>
      </c>
      <c r="C9" s="2" t="s">
        <v>122</v>
      </c>
      <c r="D9" s="2" t="s">
        <v>271</v>
      </c>
      <c r="E9" s="2" t="s">
        <v>292</v>
      </c>
      <c r="F9" s="2">
        <v>4</v>
      </c>
      <c r="G9" s="4">
        <v>2800</v>
      </c>
      <c r="H9" s="5">
        <v>0.1</v>
      </c>
      <c r="I9" s="4">
        <v>10080</v>
      </c>
      <c r="J9" s="4">
        <v>5241.6000000000004</v>
      </c>
      <c r="K9" s="2" t="s">
        <v>313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>
      <c r="A10" s="2" t="s">
        <v>314</v>
      </c>
      <c r="B10" s="6">
        <v>46047</v>
      </c>
      <c r="C10" s="2" t="s">
        <v>202</v>
      </c>
      <c r="D10" s="2" t="s">
        <v>269</v>
      </c>
      <c r="E10" s="2" t="s">
        <v>294</v>
      </c>
      <c r="F10" s="2">
        <v>7</v>
      </c>
      <c r="G10" s="4">
        <v>1100</v>
      </c>
      <c r="H10" s="5">
        <v>0</v>
      </c>
      <c r="I10" s="4">
        <v>7700</v>
      </c>
      <c r="J10" s="4">
        <v>5236</v>
      </c>
      <c r="K10" s="2" t="s">
        <v>306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 t="s">
        <v>315</v>
      </c>
      <c r="B11" s="6">
        <v>46036</v>
      </c>
      <c r="C11" s="2" t="s">
        <v>215</v>
      </c>
      <c r="D11" s="2" t="s">
        <v>265</v>
      </c>
      <c r="E11" s="2" t="s">
        <v>296</v>
      </c>
      <c r="F11" s="2">
        <v>8</v>
      </c>
      <c r="G11" s="4">
        <v>650</v>
      </c>
      <c r="H11" s="5">
        <v>0.15</v>
      </c>
      <c r="I11" s="4">
        <v>4420</v>
      </c>
      <c r="J11" s="4">
        <v>1414.4</v>
      </c>
      <c r="K11" s="2" t="s">
        <v>306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 t="s">
        <v>316</v>
      </c>
      <c r="B12" s="6">
        <v>46071</v>
      </c>
      <c r="C12" s="2" t="s">
        <v>118</v>
      </c>
      <c r="D12" s="2" t="s">
        <v>263</v>
      </c>
      <c r="E12" s="2" t="s">
        <v>75</v>
      </c>
      <c r="F12" s="2">
        <v>4</v>
      </c>
      <c r="G12" s="4">
        <v>800</v>
      </c>
      <c r="H12" s="5">
        <v>0</v>
      </c>
      <c r="I12" s="4">
        <v>3200</v>
      </c>
      <c r="J12" s="4">
        <v>864</v>
      </c>
      <c r="K12" s="2" t="s">
        <v>313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 t="s">
        <v>317</v>
      </c>
      <c r="B13" s="6">
        <v>46042</v>
      </c>
      <c r="C13" s="2" t="s">
        <v>184</v>
      </c>
      <c r="D13" s="2" t="s">
        <v>245</v>
      </c>
      <c r="E13" s="2" t="s">
        <v>294</v>
      </c>
      <c r="F13" s="2">
        <v>8</v>
      </c>
      <c r="G13" s="4">
        <v>35</v>
      </c>
      <c r="H13" s="5">
        <v>0</v>
      </c>
      <c r="I13" s="4">
        <v>280</v>
      </c>
      <c r="J13" s="4">
        <v>117.6</v>
      </c>
      <c r="K13" s="2" t="s">
        <v>309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 t="s">
        <v>318</v>
      </c>
      <c r="B14" s="6">
        <v>46065</v>
      </c>
      <c r="C14" s="2" t="s">
        <v>199</v>
      </c>
      <c r="D14" s="2" t="s">
        <v>242</v>
      </c>
      <c r="E14" s="2" t="s">
        <v>75</v>
      </c>
      <c r="F14" s="2">
        <v>2</v>
      </c>
      <c r="G14" s="4">
        <v>70</v>
      </c>
      <c r="H14" s="5">
        <v>0</v>
      </c>
      <c r="I14" s="4">
        <v>140</v>
      </c>
      <c r="J14" s="4">
        <v>56</v>
      </c>
      <c r="K14" s="2" t="s">
        <v>309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 t="s">
        <v>319</v>
      </c>
      <c r="B15" s="6">
        <v>46120</v>
      </c>
      <c r="C15" s="2" t="s">
        <v>191</v>
      </c>
      <c r="D15" s="2" t="s">
        <v>269</v>
      </c>
      <c r="E15" s="2" t="s">
        <v>294</v>
      </c>
      <c r="F15" s="2">
        <v>1</v>
      </c>
      <c r="G15" s="4">
        <v>1100</v>
      </c>
      <c r="H15" s="5">
        <v>0</v>
      </c>
      <c r="I15" s="4">
        <v>1100</v>
      </c>
      <c r="J15" s="4">
        <v>748</v>
      </c>
      <c r="K15" s="2" t="s">
        <v>306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>
      <c r="A16" s="2" t="s">
        <v>320</v>
      </c>
      <c r="B16" s="6">
        <v>46165</v>
      </c>
      <c r="C16" s="2" t="s">
        <v>175</v>
      </c>
      <c r="D16" s="2" t="s">
        <v>254</v>
      </c>
      <c r="E16" s="2" t="s">
        <v>298</v>
      </c>
      <c r="F16" s="2">
        <v>5</v>
      </c>
      <c r="G16" s="4">
        <v>3500</v>
      </c>
      <c r="H16" s="5">
        <v>0.05</v>
      </c>
      <c r="I16" s="4">
        <v>16625</v>
      </c>
      <c r="J16" s="4">
        <v>9143.75</v>
      </c>
      <c r="K16" s="2" t="s">
        <v>309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 t="s">
        <v>321</v>
      </c>
      <c r="B17" s="6">
        <v>46103</v>
      </c>
      <c r="C17" s="2" t="s">
        <v>140</v>
      </c>
      <c r="D17" s="2" t="s">
        <v>249</v>
      </c>
      <c r="E17" s="2" t="s">
        <v>290</v>
      </c>
      <c r="F17" s="2">
        <v>1</v>
      </c>
      <c r="G17" s="4">
        <v>600</v>
      </c>
      <c r="H17" s="5">
        <v>0.15</v>
      </c>
      <c r="I17" s="4">
        <v>510</v>
      </c>
      <c r="J17" s="4">
        <v>331.5</v>
      </c>
      <c r="K17" s="2" t="s">
        <v>306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322</v>
      </c>
      <c r="B18" s="6">
        <v>46043</v>
      </c>
      <c r="C18" s="2" t="s">
        <v>118</v>
      </c>
      <c r="D18" s="2" t="s">
        <v>275</v>
      </c>
      <c r="E18" s="2" t="s">
        <v>75</v>
      </c>
      <c r="F18" s="2">
        <v>1</v>
      </c>
      <c r="G18" s="4">
        <v>450</v>
      </c>
      <c r="H18" s="5">
        <v>0.1</v>
      </c>
      <c r="I18" s="4">
        <v>405</v>
      </c>
      <c r="J18" s="4">
        <v>89.1</v>
      </c>
      <c r="K18" s="2" t="s">
        <v>306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>
      <c r="A19" s="2" t="s">
        <v>323</v>
      </c>
      <c r="B19" s="6">
        <v>46168</v>
      </c>
      <c r="C19" s="2" t="s">
        <v>122</v>
      </c>
      <c r="D19" s="2" t="s">
        <v>277</v>
      </c>
      <c r="E19" s="2" t="s">
        <v>75</v>
      </c>
      <c r="F19" s="2">
        <v>7</v>
      </c>
      <c r="G19" s="4">
        <v>900</v>
      </c>
      <c r="H19" s="5">
        <v>0</v>
      </c>
      <c r="I19" s="4">
        <v>6300</v>
      </c>
      <c r="J19" s="4">
        <v>1638</v>
      </c>
      <c r="K19" s="2" t="s">
        <v>306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>
      <c r="A20" s="2" t="s">
        <v>324</v>
      </c>
      <c r="B20" s="6">
        <v>46172</v>
      </c>
      <c r="C20" s="2" t="s">
        <v>204</v>
      </c>
      <c r="D20" s="2" t="s">
        <v>277</v>
      </c>
      <c r="E20" s="2" t="s">
        <v>75</v>
      </c>
      <c r="F20" s="2">
        <v>7</v>
      </c>
      <c r="G20" s="4">
        <v>900</v>
      </c>
      <c r="H20" s="5">
        <v>0.15</v>
      </c>
      <c r="I20" s="4">
        <v>5355</v>
      </c>
      <c r="J20" s="4">
        <v>1392.3</v>
      </c>
      <c r="K20" s="2" t="s">
        <v>313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325</v>
      </c>
      <c r="B21" s="6">
        <v>46090</v>
      </c>
      <c r="C21" s="2" t="s">
        <v>195</v>
      </c>
      <c r="D21" s="2" t="s">
        <v>259</v>
      </c>
      <c r="E21" s="2" t="s">
        <v>290</v>
      </c>
      <c r="F21" s="2">
        <v>6</v>
      </c>
      <c r="G21" s="4">
        <v>450</v>
      </c>
      <c r="H21" s="5">
        <v>0</v>
      </c>
      <c r="I21" s="4">
        <v>2700</v>
      </c>
      <c r="J21" s="4">
        <v>1674</v>
      </c>
      <c r="K21" s="2" t="s">
        <v>309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 t="s">
        <v>326</v>
      </c>
      <c r="B22" s="6">
        <v>46167</v>
      </c>
      <c r="C22" s="2" t="s">
        <v>136</v>
      </c>
      <c r="D22" s="2" t="s">
        <v>257</v>
      </c>
      <c r="E22" s="2" t="s">
        <v>284</v>
      </c>
      <c r="F22" s="2">
        <v>1</v>
      </c>
      <c r="G22" s="4">
        <v>1200</v>
      </c>
      <c r="H22" s="5">
        <v>0.05</v>
      </c>
      <c r="I22" s="4">
        <v>1140</v>
      </c>
      <c r="J22" s="4">
        <v>684</v>
      </c>
      <c r="K22" s="2" t="s">
        <v>306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 t="s">
        <v>327</v>
      </c>
      <c r="B23" s="6">
        <v>46040</v>
      </c>
      <c r="C23" s="2" t="s">
        <v>122</v>
      </c>
      <c r="D23" s="2" t="s">
        <v>273</v>
      </c>
      <c r="E23" s="2" t="s">
        <v>292</v>
      </c>
      <c r="F23" s="2">
        <v>3</v>
      </c>
      <c r="G23" s="4">
        <v>350</v>
      </c>
      <c r="H23" s="5">
        <v>0</v>
      </c>
      <c r="I23" s="4">
        <v>1050</v>
      </c>
      <c r="J23" s="4">
        <v>609</v>
      </c>
      <c r="K23" s="2" t="s">
        <v>306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 t="s">
        <v>328</v>
      </c>
      <c r="B24" s="6">
        <v>46164</v>
      </c>
      <c r="C24" s="2" t="s">
        <v>173</v>
      </c>
      <c r="D24" s="2" t="s">
        <v>257</v>
      </c>
      <c r="E24" s="2" t="s">
        <v>294</v>
      </c>
      <c r="F24" s="2">
        <v>1</v>
      </c>
      <c r="G24" s="4">
        <v>1200</v>
      </c>
      <c r="H24" s="5">
        <v>0.15</v>
      </c>
      <c r="I24" s="4">
        <v>1020</v>
      </c>
      <c r="J24" s="4">
        <v>612</v>
      </c>
      <c r="K24" s="2" t="s">
        <v>306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 t="s">
        <v>329</v>
      </c>
      <c r="B25" s="6">
        <v>46050</v>
      </c>
      <c r="C25" s="2" t="s">
        <v>215</v>
      </c>
      <c r="D25" s="2" t="s">
        <v>242</v>
      </c>
      <c r="E25" s="2" t="s">
        <v>287</v>
      </c>
      <c r="F25" s="2">
        <v>5</v>
      </c>
      <c r="G25" s="4">
        <v>70</v>
      </c>
      <c r="H25" s="5">
        <v>0</v>
      </c>
      <c r="I25" s="4">
        <v>350</v>
      </c>
      <c r="J25" s="4">
        <v>140</v>
      </c>
      <c r="K25" s="2" t="s">
        <v>313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>
      <c r="A26" s="2" t="s">
        <v>330</v>
      </c>
      <c r="B26" s="6">
        <v>46090</v>
      </c>
      <c r="C26" s="2" t="s">
        <v>140</v>
      </c>
      <c r="D26" s="2" t="s">
        <v>254</v>
      </c>
      <c r="E26" s="2" t="s">
        <v>290</v>
      </c>
      <c r="F26" s="2">
        <v>6</v>
      </c>
      <c r="G26" s="4">
        <v>3500</v>
      </c>
      <c r="H26" s="5">
        <v>0</v>
      </c>
      <c r="I26" s="4">
        <v>21000</v>
      </c>
      <c r="J26" s="4">
        <v>11550</v>
      </c>
      <c r="K26" s="2" t="s">
        <v>313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>
      <c r="A27" s="2" t="s">
        <v>331</v>
      </c>
      <c r="B27" s="6">
        <v>46131</v>
      </c>
      <c r="C27" s="2" t="s">
        <v>191</v>
      </c>
      <c r="D27" s="2" t="s">
        <v>254</v>
      </c>
      <c r="E27" s="2" t="s">
        <v>75</v>
      </c>
      <c r="F27" s="2">
        <v>2</v>
      </c>
      <c r="G27" s="4">
        <v>3500</v>
      </c>
      <c r="H27" s="5">
        <v>0.15</v>
      </c>
      <c r="I27" s="4">
        <v>5950</v>
      </c>
      <c r="J27" s="4">
        <v>3272.5</v>
      </c>
      <c r="K27" s="2" t="s">
        <v>306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>
      <c r="A28" s="2" t="s">
        <v>332</v>
      </c>
      <c r="B28" s="6">
        <v>46136</v>
      </c>
      <c r="C28" s="2" t="s">
        <v>114</v>
      </c>
      <c r="D28" s="2" t="s">
        <v>70</v>
      </c>
      <c r="E28" s="2" t="s">
        <v>284</v>
      </c>
      <c r="F28" s="2">
        <v>5</v>
      </c>
      <c r="G28" s="4">
        <v>1200</v>
      </c>
      <c r="H28" s="5">
        <v>0</v>
      </c>
      <c r="I28" s="4">
        <v>6000</v>
      </c>
      <c r="J28" s="4">
        <v>1680</v>
      </c>
      <c r="K28" s="2" t="s">
        <v>313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 t="s">
        <v>333</v>
      </c>
      <c r="B29" s="6">
        <v>46061</v>
      </c>
      <c r="C29" s="2" t="s">
        <v>221</v>
      </c>
      <c r="D29" s="2" t="s">
        <v>265</v>
      </c>
      <c r="E29" s="2" t="s">
        <v>284</v>
      </c>
      <c r="F29" s="2">
        <v>2</v>
      </c>
      <c r="G29" s="4">
        <v>650</v>
      </c>
      <c r="H29" s="5">
        <v>0.15</v>
      </c>
      <c r="I29" s="4">
        <v>1105</v>
      </c>
      <c r="J29" s="4">
        <v>353.6</v>
      </c>
      <c r="K29" s="2" t="s">
        <v>313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>
      <c r="A30" s="2" t="s">
        <v>334</v>
      </c>
      <c r="B30" s="6">
        <v>46033</v>
      </c>
      <c r="C30" s="2" t="s">
        <v>114</v>
      </c>
      <c r="D30" s="2" t="s">
        <v>261</v>
      </c>
      <c r="E30" s="2" t="s">
        <v>284</v>
      </c>
      <c r="F30" s="2">
        <v>7</v>
      </c>
      <c r="G30" s="4">
        <v>2200</v>
      </c>
      <c r="H30" s="5">
        <v>0</v>
      </c>
      <c r="I30" s="4">
        <v>15400</v>
      </c>
      <c r="J30" s="4">
        <v>7700</v>
      </c>
      <c r="K30" s="2" t="s">
        <v>306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>
      <c r="A31" s="2" t="s">
        <v>335</v>
      </c>
      <c r="B31" s="6">
        <v>46049</v>
      </c>
      <c r="C31" s="2" t="s">
        <v>173</v>
      </c>
      <c r="D31" s="2" t="s">
        <v>238</v>
      </c>
      <c r="E31" s="2" t="s">
        <v>290</v>
      </c>
      <c r="F31" s="2">
        <v>4</v>
      </c>
      <c r="G31" s="4">
        <v>1800</v>
      </c>
      <c r="H31" s="5">
        <v>0.15</v>
      </c>
      <c r="I31" s="4">
        <v>6120</v>
      </c>
      <c r="J31" s="4">
        <v>1530</v>
      </c>
      <c r="K31" s="2" t="s">
        <v>306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 t="s">
        <v>336</v>
      </c>
      <c r="B32" s="6">
        <v>46064</v>
      </c>
      <c r="C32" s="2" t="s">
        <v>229</v>
      </c>
      <c r="D32" s="2" t="s">
        <v>273</v>
      </c>
      <c r="E32" s="2" t="s">
        <v>296</v>
      </c>
      <c r="F32" s="2">
        <v>3</v>
      </c>
      <c r="G32" s="4">
        <v>350</v>
      </c>
      <c r="H32" s="5">
        <v>0</v>
      </c>
      <c r="I32" s="4">
        <v>1050</v>
      </c>
      <c r="J32" s="4">
        <v>609</v>
      </c>
      <c r="K32" s="2" t="s">
        <v>306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>
      <c r="A33" s="2" t="s">
        <v>337</v>
      </c>
      <c r="B33" s="6">
        <v>46086</v>
      </c>
      <c r="C33" s="2" t="s">
        <v>180</v>
      </c>
      <c r="D33" s="2" t="s">
        <v>70</v>
      </c>
      <c r="E33" s="2" t="s">
        <v>294</v>
      </c>
      <c r="F33" s="2">
        <v>7</v>
      </c>
      <c r="G33" s="4">
        <v>1200</v>
      </c>
      <c r="H33" s="5">
        <v>0.15</v>
      </c>
      <c r="I33" s="4">
        <v>7140</v>
      </c>
      <c r="J33" s="4">
        <v>1999.2</v>
      </c>
      <c r="K33" s="2" t="s">
        <v>306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 t="s">
        <v>338</v>
      </c>
      <c r="B34" s="6">
        <v>46074</v>
      </c>
      <c r="C34" s="2" t="s">
        <v>143</v>
      </c>
      <c r="D34" s="2" t="s">
        <v>242</v>
      </c>
      <c r="E34" s="2" t="s">
        <v>290</v>
      </c>
      <c r="F34" s="2">
        <v>8</v>
      </c>
      <c r="G34" s="4">
        <v>70</v>
      </c>
      <c r="H34" s="5">
        <v>0</v>
      </c>
      <c r="I34" s="4">
        <v>560</v>
      </c>
      <c r="J34" s="4">
        <v>224</v>
      </c>
      <c r="K34" s="2" t="s">
        <v>309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 t="s">
        <v>339</v>
      </c>
      <c r="B35" s="6">
        <v>46072</v>
      </c>
      <c r="C35" s="2" t="s">
        <v>171</v>
      </c>
      <c r="D35" s="2" t="s">
        <v>257</v>
      </c>
      <c r="E35" s="2" t="s">
        <v>290</v>
      </c>
      <c r="F35" s="2">
        <v>4</v>
      </c>
      <c r="G35" s="4">
        <v>1200</v>
      </c>
      <c r="H35" s="5">
        <v>0</v>
      </c>
      <c r="I35" s="4">
        <v>4800</v>
      </c>
      <c r="J35" s="4">
        <v>2880</v>
      </c>
      <c r="K35" s="2" t="s">
        <v>309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>
      <c r="A36" s="2" t="s">
        <v>340</v>
      </c>
      <c r="B36" s="6">
        <v>46153</v>
      </c>
      <c r="C36" s="2" t="s">
        <v>169</v>
      </c>
      <c r="D36" s="2" t="s">
        <v>254</v>
      </c>
      <c r="E36" s="2" t="s">
        <v>292</v>
      </c>
      <c r="F36" s="2">
        <v>6</v>
      </c>
      <c r="G36" s="4">
        <v>3500</v>
      </c>
      <c r="H36" s="5">
        <v>0.15</v>
      </c>
      <c r="I36" s="4">
        <v>17850</v>
      </c>
      <c r="J36" s="4">
        <v>9817.5</v>
      </c>
      <c r="K36" s="2" t="s">
        <v>309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 t="s">
        <v>341</v>
      </c>
      <c r="B37" s="6">
        <v>46068</v>
      </c>
      <c r="C37" s="2" t="s">
        <v>217</v>
      </c>
      <c r="D37" s="2" t="s">
        <v>273</v>
      </c>
      <c r="E37" s="2" t="s">
        <v>290</v>
      </c>
      <c r="F37" s="2">
        <v>2</v>
      </c>
      <c r="G37" s="4">
        <v>350</v>
      </c>
      <c r="H37" s="5">
        <v>0</v>
      </c>
      <c r="I37" s="4">
        <v>700</v>
      </c>
      <c r="J37" s="4">
        <v>406</v>
      </c>
      <c r="K37" s="2" t="s">
        <v>313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>
      <c r="A38" s="2" t="s">
        <v>342</v>
      </c>
      <c r="B38" s="6">
        <v>46103</v>
      </c>
      <c r="C38" s="2" t="s">
        <v>158</v>
      </c>
      <c r="D38" s="2" t="s">
        <v>238</v>
      </c>
      <c r="E38" s="2" t="s">
        <v>292</v>
      </c>
      <c r="F38" s="2">
        <v>6</v>
      </c>
      <c r="G38" s="4">
        <v>1800</v>
      </c>
      <c r="H38" s="5">
        <v>0.15</v>
      </c>
      <c r="I38" s="4">
        <v>9180</v>
      </c>
      <c r="J38" s="4">
        <v>2295</v>
      </c>
      <c r="K38" s="2" t="s">
        <v>309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>
      <c r="A39" s="2" t="s">
        <v>343</v>
      </c>
      <c r="B39" s="6">
        <v>46134</v>
      </c>
      <c r="C39" s="2" t="s">
        <v>206</v>
      </c>
      <c r="D39" s="2" t="s">
        <v>271</v>
      </c>
      <c r="E39" s="2" t="s">
        <v>287</v>
      </c>
      <c r="F39" s="2">
        <v>5</v>
      </c>
      <c r="G39" s="4">
        <v>2800</v>
      </c>
      <c r="H39" s="5">
        <v>0</v>
      </c>
      <c r="I39" s="4">
        <v>14000</v>
      </c>
      <c r="J39" s="4">
        <v>7280</v>
      </c>
      <c r="K39" s="2" t="s">
        <v>306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 t="s">
        <v>344</v>
      </c>
      <c r="B40" s="6">
        <v>46040</v>
      </c>
      <c r="C40" s="2" t="s">
        <v>195</v>
      </c>
      <c r="D40" s="2" t="s">
        <v>273</v>
      </c>
      <c r="E40" s="2" t="s">
        <v>287</v>
      </c>
      <c r="F40" s="2">
        <v>6</v>
      </c>
      <c r="G40" s="4">
        <v>350</v>
      </c>
      <c r="H40" s="5">
        <v>0.05</v>
      </c>
      <c r="I40" s="4">
        <v>1995</v>
      </c>
      <c r="J40" s="4">
        <v>1157.0999999999999</v>
      </c>
      <c r="K40" s="2" t="s">
        <v>306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 t="s">
        <v>345</v>
      </c>
      <c r="B41" s="6">
        <v>46102</v>
      </c>
      <c r="C41" s="2" t="s">
        <v>208</v>
      </c>
      <c r="D41" s="2" t="s">
        <v>259</v>
      </c>
      <c r="E41" s="2" t="s">
        <v>75</v>
      </c>
      <c r="F41" s="2">
        <v>5</v>
      </c>
      <c r="G41" s="4">
        <v>450</v>
      </c>
      <c r="H41" s="5">
        <v>0.1</v>
      </c>
      <c r="I41" s="4">
        <v>2025</v>
      </c>
      <c r="J41" s="4">
        <v>1255.5</v>
      </c>
      <c r="K41" s="2" t="s">
        <v>309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 t="s">
        <v>346</v>
      </c>
      <c r="B42" s="6">
        <v>46120</v>
      </c>
      <c r="C42" s="2" t="s">
        <v>167</v>
      </c>
      <c r="D42" s="2" t="s">
        <v>263</v>
      </c>
      <c r="E42" s="2" t="s">
        <v>290</v>
      </c>
      <c r="F42" s="2">
        <v>4</v>
      </c>
      <c r="G42" s="4">
        <v>800</v>
      </c>
      <c r="H42" s="5">
        <v>0.05</v>
      </c>
      <c r="I42" s="4">
        <v>3040</v>
      </c>
      <c r="J42" s="4">
        <v>820.8</v>
      </c>
      <c r="K42" s="2" t="s">
        <v>306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 t="s">
        <v>347</v>
      </c>
      <c r="B43" s="6">
        <v>46076</v>
      </c>
      <c r="C43" s="2" t="s">
        <v>208</v>
      </c>
      <c r="D43" s="2" t="s">
        <v>275</v>
      </c>
      <c r="E43" s="2" t="s">
        <v>75</v>
      </c>
      <c r="F43" s="2">
        <v>5</v>
      </c>
      <c r="G43" s="4">
        <v>450</v>
      </c>
      <c r="H43" s="5">
        <v>0</v>
      </c>
      <c r="I43" s="4">
        <v>2250</v>
      </c>
      <c r="J43" s="4">
        <v>495</v>
      </c>
      <c r="K43" s="2" t="s">
        <v>309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>
      <c r="A44" s="2" t="s">
        <v>348</v>
      </c>
      <c r="B44" s="6">
        <v>46077</v>
      </c>
      <c r="C44" s="2" t="s">
        <v>204</v>
      </c>
      <c r="D44" s="2" t="s">
        <v>277</v>
      </c>
      <c r="E44" s="2" t="s">
        <v>292</v>
      </c>
      <c r="F44" s="2">
        <v>8</v>
      </c>
      <c r="G44" s="4">
        <v>900</v>
      </c>
      <c r="H44" s="5">
        <v>0.05</v>
      </c>
      <c r="I44" s="4">
        <v>6840</v>
      </c>
      <c r="J44" s="4">
        <v>1778.4</v>
      </c>
      <c r="K44" s="2" t="s">
        <v>313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 t="s">
        <v>349</v>
      </c>
      <c r="B45" s="6">
        <v>46083</v>
      </c>
      <c r="C45" s="2" t="s">
        <v>189</v>
      </c>
      <c r="D45" s="2" t="s">
        <v>247</v>
      </c>
      <c r="E45" s="2" t="s">
        <v>296</v>
      </c>
      <c r="F45" s="2">
        <v>6</v>
      </c>
      <c r="G45" s="4">
        <v>250</v>
      </c>
      <c r="H45" s="5">
        <v>0</v>
      </c>
      <c r="I45" s="4">
        <v>1500</v>
      </c>
      <c r="J45" s="4">
        <v>525</v>
      </c>
      <c r="K45" s="2" t="s">
        <v>306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 t="s">
        <v>350</v>
      </c>
      <c r="B46" s="6">
        <v>46041</v>
      </c>
      <c r="C46" s="2" t="s">
        <v>154</v>
      </c>
      <c r="D46" s="2" t="s">
        <v>249</v>
      </c>
      <c r="E46" s="2" t="s">
        <v>75</v>
      </c>
      <c r="F46" s="2">
        <v>4</v>
      </c>
      <c r="G46" s="4">
        <v>600</v>
      </c>
      <c r="H46" s="5">
        <v>0.05</v>
      </c>
      <c r="I46" s="4">
        <v>2280</v>
      </c>
      <c r="J46" s="4">
        <v>1482</v>
      </c>
      <c r="K46" s="2" t="s">
        <v>309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 t="s">
        <v>351</v>
      </c>
      <c r="B47" s="6">
        <v>46085</v>
      </c>
      <c r="C47" s="2" t="s">
        <v>180</v>
      </c>
      <c r="D47" s="2" t="s">
        <v>275</v>
      </c>
      <c r="E47" s="2" t="s">
        <v>294</v>
      </c>
      <c r="F47" s="2">
        <v>8</v>
      </c>
      <c r="G47" s="4">
        <v>450</v>
      </c>
      <c r="H47" s="5">
        <v>0.05</v>
      </c>
      <c r="I47" s="4">
        <v>3420</v>
      </c>
      <c r="J47" s="4">
        <v>752.4</v>
      </c>
      <c r="K47" s="2" t="s">
        <v>306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>
      <c r="A48" s="2" t="s">
        <v>352</v>
      </c>
      <c r="B48" s="6">
        <v>46068</v>
      </c>
      <c r="C48" s="2" t="s">
        <v>212</v>
      </c>
      <c r="D48" s="2" t="s">
        <v>70</v>
      </c>
      <c r="E48" s="2" t="s">
        <v>284</v>
      </c>
      <c r="F48" s="2">
        <v>7</v>
      </c>
      <c r="G48" s="4">
        <v>1200</v>
      </c>
      <c r="H48" s="5">
        <v>0</v>
      </c>
      <c r="I48" s="4">
        <v>8400</v>
      </c>
      <c r="J48" s="4">
        <v>2352</v>
      </c>
      <c r="K48" s="2" t="s">
        <v>313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>
      <c r="A49" s="2" t="s">
        <v>353</v>
      </c>
      <c r="B49" s="6">
        <v>46141</v>
      </c>
      <c r="C49" s="2" t="s">
        <v>186</v>
      </c>
      <c r="D49" s="2" t="s">
        <v>238</v>
      </c>
      <c r="E49" s="2" t="s">
        <v>287</v>
      </c>
      <c r="F49" s="2">
        <v>8</v>
      </c>
      <c r="G49" s="4">
        <v>1800</v>
      </c>
      <c r="H49" s="5">
        <v>0</v>
      </c>
      <c r="I49" s="4">
        <v>14400</v>
      </c>
      <c r="J49" s="4">
        <v>3600</v>
      </c>
      <c r="K49" s="2" t="s">
        <v>313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>
      <c r="A50" s="2" t="s">
        <v>354</v>
      </c>
      <c r="B50" s="6">
        <v>46137</v>
      </c>
      <c r="C50" s="2" t="s">
        <v>199</v>
      </c>
      <c r="D50" s="2" t="s">
        <v>277</v>
      </c>
      <c r="E50" s="2" t="s">
        <v>292</v>
      </c>
      <c r="F50" s="2">
        <v>7</v>
      </c>
      <c r="G50" s="4">
        <v>900</v>
      </c>
      <c r="H50" s="5">
        <v>0.1</v>
      </c>
      <c r="I50" s="4">
        <v>5670</v>
      </c>
      <c r="J50" s="4">
        <v>1474.2</v>
      </c>
      <c r="K50" s="2" t="s">
        <v>306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 t="s">
        <v>355</v>
      </c>
      <c r="B51" s="6">
        <v>46147</v>
      </c>
      <c r="C51" s="2" t="s">
        <v>225</v>
      </c>
      <c r="D51" s="2" t="s">
        <v>269</v>
      </c>
      <c r="E51" s="2" t="s">
        <v>290</v>
      </c>
      <c r="F51" s="2">
        <v>5</v>
      </c>
      <c r="G51" s="4">
        <v>1100</v>
      </c>
      <c r="H51" s="5">
        <v>0.1</v>
      </c>
      <c r="I51" s="4">
        <v>4950</v>
      </c>
      <c r="J51" s="4">
        <v>3366</v>
      </c>
      <c r="K51" s="2" t="s">
        <v>306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 t="s">
        <v>356</v>
      </c>
      <c r="B52" s="6">
        <v>46108</v>
      </c>
      <c r="C52" s="2" t="s">
        <v>160</v>
      </c>
      <c r="D52" s="2" t="s">
        <v>267</v>
      </c>
      <c r="E52" s="2" t="s">
        <v>294</v>
      </c>
      <c r="F52" s="2">
        <v>4</v>
      </c>
      <c r="G52" s="4">
        <v>120</v>
      </c>
      <c r="H52" s="5">
        <v>0</v>
      </c>
      <c r="I52" s="4">
        <v>480</v>
      </c>
      <c r="J52" s="4">
        <v>182.4</v>
      </c>
      <c r="K52" s="2" t="s">
        <v>306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 t="s">
        <v>357</v>
      </c>
      <c r="B53" s="6">
        <v>46062</v>
      </c>
      <c r="C53" s="2" t="s">
        <v>197</v>
      </c>
      <c r="D53" s="2" t="s">
        <v>240</v>
      </c>
      <c r="E53" s="2" t="s">
        <v>284</v>
      </c>
      <c r="F53" s="2">
        <v>7</v>
      </c>
      <c r="G53" s="4">
        <v>300</v>
      </c>
      <c r="H53" s="5">
        <v>0.15</v>
      </c>
      <c r="I53" s="4">
        <v>1785</v>
      </c>
      <c r="J53" s="4">
        <v>535.5</v>
      </c>
      <c r="K53" s="2" t="s">
        <v>306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 t="s">
        <v>358</v>
      </c>
      <c r="B54" s="6">
        <v>46075</v>
      </c>
      <c r="C54" s="2" t="s">
        <v>122</v>
      </c>
      <c r="D54" s="2" t="s">
        <v>265</v>
      </c>
      <c r="E54" s="2" t="s">
        <v>292</v>
      </c>
      <c r="F54" s="2">
        <v>7</v>
      </c>
      <c r="G54" s="4">
        <v>650</v>
      </c>
      <c r="H54" s="5">
        <v>0</v>
      </c>
      <c r="I54" s="4">
        <v>4550</v>
      </c>
      <c r="J54" s="4">
        <v>1456</v>
      </c>
      <c r="K54" s="2" t="s">
        <v>309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 t="s">
        <v>359</v>
      </c>
      <c r="B55" s="6">
        <v>46024</v>
      </c>
      <c r="C55" s="2" t="s">
        <v>175</v>
      </c>
      <c r="D55" s="2" t="s">
        <v>275</v>
      </c>
      <c r="E55" s="2" t="s">
        <v>75</v>
      </c>
      <c r="F55" s="2">
        <v>7</v>
      </c>
      <c r="G55" s="4">
        <v>450</v>
      </c>
      <c r="H55" s="5">
        <v>0.05</v>
      </c>
      <c r="I55" s="4">
        <v>2992.5</v>
      </c>
      <c r="J55" s="4">
        <v>658.35</v>
      </c>
      <c r="K55" s="2" t="s">
        <v>306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 t="s">
        <v>360</v>
      </c>
      <c r="B56" s="6">
        <v>46079</v>
      </c>
      <c r="C56" s="2" t="s">
        <v>164</v>
      </c>
      <c r="D56" s="2" t="s">
        <v>263</v>
      </c>
      <c r="E56" s="2" t="s">
        <v>296</v>
      </c>
      <c r="F56" s="2">
        <v>4</v>
      </c>
      <c r="G56" s="4">
        <v>800</v>
      </c>
      <c r="H56" s="5">
        <v>0.05</v>
      </c>
      <c r="I56" s="4">
        <v>3040</v>
      </c>
      <c r="J56" s="4">
        <v>820.8</v>
      </c>
      <c r="K56" s="2" t="s">
        <v>306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">
      <c r="A57" s="2" t="s">
        <v>361</v>
      </c>
      <c r="B57" s="6">
        <v>46065</v>
      </c>
      <c r="C57" s="2" t="s">
        <v>182</v>
      </c>
      <c r="D57" s="2" t="s">
        <v>269</v>
      </c>
      <c r="E57" s="2" t="s">
        <v>296</v>
      </c>
      <c r="F57" s="2">
        <v>7</v>
      </c>
      <c r="G57" s="4">
        <v>1100</v>
      </c>
      <c r="H57" s="5">
        <v>0.15</v>
      </c>
      <c r="I57" s="4">
        <v>6545</v>
      </c>
      <c r="J57" s="4">
        <v>4450.6000000000004</v>
      </c>
      <c r="K57" s="2" t="s">
        <v>309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 t="s">
        <v>362</v>
      </c>
      <c r="B58" s="6">
        <v>46132</v>
      </c>
      <c r="C58" s="2" t="s">
        <v>136</v>
      </c>
      <c r="D58" s="2" t="s">
        <v>277</v>
      </c>
      <c r="E58" s="2" t="s">
        <v>294</v>
      </c>
      <c r="F58" s="2">
        <v>1</v>
      </c>
      <c r="G58" s="4">
        <v>900</v>
      </c>
      <c r="H58" s="5">
        <v>0</v>
      </c>
      <c r="I58" s="4">
        <v>900</v>
      </c>
      <c r="J58" s="4">
        <v>234</v>
      </c>
      <c r="K58" s="2" t="s">
        <v>306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 t="s">
        <v>363</v>
      </c>
      <c r="B59" s="6">
        <v>46139</v>
      </c>
      <c r="C59" s="2" t="s">
        <v>186</v>
      </c>
      <c r="D59" s="2" t="s">
        <v>247</v>
      </c>
      <c r="E59" s="2" t="s">
        <v>296</v>
      </c>
      <c r="F59" s="2">
        <v>6</v>
      </c>
      <c r="G59" s="4">
        <v>250</v>
      </c>
      <c r="H59" s="5">
        <v>0</v>
      </c>
      <c r="I59" s="4">
        <v>1500</v>
      </c>
      <c r="J59" s="4">
        <v>525</v>
      </c>
      <c r="K59" s="2" t="s">
        <v>306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 t="s">
        <v>364</v>
      </c>
      <c r="B60" s="6">
        <v>46143</v>
      </c>
      <c r="C60" s="2" t="s">
        <v>169</v>
      </c>
      <c r="D60" s="2" t="s">
        <v>263</v>
      </c>
      <c r="E60" s="2" t="s">
        <v>298</v>
      </c>
      <c r="F60" s="2">
        <v>5</v>
      </c>
      <c r="G60" s="4">
        <v>800</v>
      </c>
      <c r="H60" s="5">
        <v>0</v>
      </c>
      <c r="I60" s="4">
        <v>4000</v>
      </c>
      <c r="J60" s="4">
        <v>1080</v>
      </c>
      <c r="K60" s="2" t="s">
        <v>306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 t="s">
        <v>365</v>
      </c>
      <c r="B61" s="6">
        <v>46040</v>
      </c>
      <c r="C61" s="2" t="s">
        <v>225</v>
      </c>
      <c r="D61" s="2" t="s">
        <v>273</v>
      </c>
      <c r="E61" s="2" t="s">
        <v>298</v>
      </c>
      <c r="F61" s="2">
        <v>4</v>
      </c>
      <c r="G61" s="4">
        <v>350</v>
      </c>
      <c r="H61" s="5">
        <v>0.15</v>
      </c>
      <c r="I61" s="4">
        <v>1190</v>
      </c>
      <c r="J61" s="4">
        <v>690.2</v>
      </c>
      <c r="K61" s="2" t="s">
        <v>306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 t="s">
        <v>366</v>
      </c>
      <c r="B62" s="6">
        <v>46062</v>
      </c>
      <c r="C62" s="2" t="s">
        <v>227</v>
      </c>
      <c r="D62" s="2" t="s">
        <v>70</v>
      </c>
      <c r="E62" s="2" t="s">
        <v>290</v>
      </c>
      <c r="F62" s="2">
        <v>1</v>
      </c>
      <c r="G62" s="4">
        <v>1200</v>
      </c>
      <c r="H62" s="5">
        <v>0.1</v>
      </c>
      <c r="I62" s="4">
        <v>1080</v>
      </c>
      <c r="J62" s="4">
        <v>302.39999999999998</v>
      </c>
      <c r="K62" s="2" t="s">
        <v>306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">
      <c r="A63" s="2" t="s">
        <v>367</v>
      </c>
      <c r="B63" s="6">
        <v>46088</v>
      </c>
      <c r="C63" s="2" t="s">
        <v>136</v>
      </c>
      <c r="D63" s="2" t="s">
        <v>269</v>
      </c>
      <c r="E63" s="2" t="s">
        <v>284</v>
      </c>
      <c r="F63" s="2">
        <v>8</v>
      </c>
      <c r="G63" s="4">
        <v>1100</v>
      </c>
      <c r="H63" s="5">
        <v>0.15</v>
      </c>
      <c r="I63" s="4">
        <v>7480</v>
      </c>
      <c r="J63" s="4">
        <v>5086.3999999999996</v>
      </c>
      <c r="K63" s="2" t="s">
        <v>306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 t="s">
        <v>368</v>
      </c>
      <c r="B64" s="6">
        <v>46050</v>
      </c>
      <c r="C64" s="2" t="s">
        <v>143</v>
      </c>
      <c r="D64" s="2" t="s">
        <v>277</v>
      </c>
      <c r="E64" s="2" t="s">
        <v>290</v>
      </c>
      <c r="F64" s="2">
        <v>3</v>
      </c>
      <c r="G64" s="4">
        <v>900</v>
      </c>
      <c r="H64" s="5">
        <v>0</v>
      </c>
      <c r="I64" s="4">
        <v>2700</v>
      </c>
      <c r="J64" s="4">
        <v>702</v>
      </c>
      <c r="K64" s="2" t="s">
        <v>313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">
      <c r="A65" s="2" t="s">
        <v>369</v>
      </c>
      <c r="B65" s="6">
        <v>46073</v>
      </c>
      <c r="C65" s="2" t="s">
        <v>108</v>
      </c>
      <c r="D65" s="2" t="s">
        <v>257</v>
      </c>
      <c r="E65" s="2" t="s">
        <v>298</v>
      </c>
      <c r="F65" s="2">
        <v>7</v>
      </c>
      <c r="G65" s="4">
        <v>1200</v>
      </c>
      <c r="H65" s="5">
        <v>0.15</v>
      </c>
      <c r="I65" s="4">
        <v>7140</v>
      </c>
      <c r="J65" s="4">
        <v>4284</v>
      </c>
      <c r="K65" s="2" t="s">
        <v>306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 t="s">
        <v>370</v>
      </c>
      <c r="B66" s="6">
        <v>46033</v>
      </c>
      <c r="C66" s="2" t="s">
        <v>204</v>
      </c>
      <c r="D66" s="2" t="s">
        <v>252</v>
      </c>
      <c r="E66" s="2" t="s">
        <v>292</v>
      </c>
      <c r="F66" s="2">
        <v>2</v>
      </c>
      <c r="G66" s="4">
        <v>900</v>
      </c>
      <c r="H66" s="5">
        <v>0.1</v>
      </c>
      <c r="I66" s="4">
        <v>1620</v>
      </c>
      <c r="J66" s="4">
        <v>1134</v>
      </c>
      <c r="K66" s="2" t="s">
        <v>306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 t="s">
        <v>371</v>
      </c>
      <c r="B67" s="6">
        <v>46130</v>
      </c>
      <c r="C67" s="2" t="s">
        <v>197</v>
      </c>
      <c r="D67" s="2" t="s">
        <v>265</v>
      </c>
      <c r="E67" s="2" t="s">
        <v>284</v>
      </c>
      <c r="F67" s="2">
        <v>6</v>
      </c>
      <c r="G67" s="4">
        <v>650</v>
      </c>
      <c r="H67" s="5">
        <v>0</v>
      </c>
      <c r="I67" s="4">
        <v>3900</v>
      </c>
      <c r="J67" s="4">
        <v>1248</v>
      </c>
      <c r="K67" s="2" t="s">
        <v>309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 t="s">
        <v>372</v>
      </c>
      <c r="B68" s="6">
        <v>46068</v>
      </c>
      <c r="C68" s="2" t="s">
        <v>128</v>
      </c>
      <c r="D68" s="2" t="s">
        <v>265</v>
      </c>
      <c r="E68" s="2" t="s">
        <v>298</v>
      </c>
      <c r="F68" s="2">
        <v>3</v>
      </c>
      <c r="G68" s="4">
        <v>650</v>
      </c>
      <c r="H68" s="5">
        <v>0.05</v>
      </c>
      <c r="I68" s="4">
        <v>1852.5</v>
      </c>
      <c r="J68" s="4">
        <v>592.79999999999995</v>
      </c>
      <c r="K68" s="2" t="s">
        <v>313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">
      <c r="A69" s="2" t="s">
        <v>373</v>
      </c>
      <c r="B69" s="6">
        <v>46091</v>
      </c>
      <c r="C69" s="2" t="s">
        <v>212</v>
      </c>
      <c r="D69" s="2" t="s">
        <v>254</v>
      </c>
      <c r="E69" s="2" t="s">
        <v>298</v>
      </c>
      <c r="F69" s="2">
        <v>8</v>
      </c>
      <c r="G69" s="4">
        <v>3500</v>
      </c>
      <c r="H69" s="5">
        <v>0.05</v>
      </c>
      <c r="I69" s="4">
        <v>26600</v>
      </c>
      <c r="J69" s="4">
        <v>14630</v>
      </c>
      <c r="K69" s="2" t="s">
        <v>306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 t="s">
        <v>374</v>
      </c>
      <c r="B70" s="6">
        <v>46168</v>
      </c>
      <c r="C70" s="2" t="s">
        <v>156</v>
      </c>
      <c r="D70" s="2" t="s">
        <v>240</v>
      </c>
      <c r="E70" s="2" t="s">
        <v>298</v>
      </c>
      <c r="F70" s="2">
        <v>4</v>
      </c>
      <c r="G70" s="4">
        <v>300</v>
      </c>
      <c r="H70" s="5">
        <v>0.05</v>
      </c>
      <c r="I70" s="4">
        <v>1140</v>
      </c>
      <c r="J70" s="4">
        <v>342</v>
      </c>
      <c r="K70" s="2" t="s">
        <v>313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 t="s">
        <v>375</v>
      </c>
      <c r="B71" s="6">
        <v>46147</v>
      </c>
      <c r="C71" s="2" t="s">
        <v>215</v>
      </c>
      <c r="D71" s="2" t="s">
        <v>263</v>
      </c>
      <c r="E71" s="2" t="s">
        <v>296</v>
      </c>
      <c r="F71" s="2">
        <v>6</v>
      </c>
      <c r="G71" s="4">
        <v>800</v>
      </c>
      <c r="H71" s="5">
        <v>0</v>
      </c>
      <c r="I71" s="4">
        <v>4800</v>
      </c>
      <c r="J71" s="4">
        <v>1296</v>
      </c>
      <c r="K71" s="2" t="s">
        <v>306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 t="s">
        <v>376</v>
      </c>
      <c r="B72" s="6">
        <v>46071</v>
      </c>
      <c r="C72" s="2" t="s">
        <v>171</v>
      </c>
      <c r="D72" s="2" t="s">
        <v>254</v>
      </c>
      <c r="E72" s="2" t="s">
        <v>298</v>
      </c>
      <c r="F72" s="2">
        <v>1</v>
      </c>
      <c r="G72" s="4">
        <v>3500</v>
      </c>
      <c r="H72" s="5">
        <v>0.1</v>
      </c>
      <c r="I72" s="4">
        <v>3150</v>
      </c>
      <c r="J72" s="4">
        <v>1732.5</v>
      </c>
      <c r="K72" s="2" t="s">
        <v>306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 t="s">
        <v>377</v>
      </c>
      <c r="B73" s="6">
        <v>46148</v>
      </c>
      <c r="C73" s="2" t="s">
        <v>156</v>
      </c>
      <c r="D73" s="2" t="s">
        <v>265</v>
      </c>
      <c r="E73" s="2" t="s">
        <v>290</v>
      </c>
      <c r="F73" s="2">
        <v>8</v>
      </c>
      <c r="G73" s="4">
        <v>650</v>
      </c>
      <c r="H73" s="5">
        <v>0.15</v>
      </c>
      <c r="I73" s="4">
        <v>4420</v>
      </c>
      <c r="J73" s="4">
        <v>1414.4</v>
      </c>
      <c r="K73" s="2" t="s">
        <v>309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 t="s">
        <v>378</v>
      </c>
      <c r="B74" s="6">
        <v>46171</v>
      </c>
      <c r="C74" s="2" t="s">
        <v>108</v>
      </c>
      <c r="D74" s="2" t="s">
        <v>240</v>
      </c>
      <c r="E74" s="2" t="s">
        <v>298</v>
      </c>
      <c r="F74" s="2">
        <v>4</v>
      </c>
      <c r="G74" s="4">
        <v>300</v>
      </c>
      <c r="H74" s="5">
        <v>0</v>
      </c>
      <c r="I74" s="4">
        <v>1200</v>
      </c>
      <c r="J74" s="4">
        <v>360</v>
      </c>
      <c r="K74" s="2" t="s">
        <v>306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 t="s">
        <v>379</v>
      </c>
      <c r="B75" s="6">
        <v>46139</v>
      </c>
      <c r="C75" s="2" t="s">
        <v>189</v>
      </c>
      <c r="D75" s="2" t="s">
        <v>273</v>
      </c>
      <c r="E75" s="2" t="s">
        <v>296</v>
      </c>
      <c r="F75" s="2">
        <v>6</v>
      </c>
      <c r="G75" s="4">
        <v>350</v>
      </c>
      <c r="H75" s="5">
        <v>0</v>
      </c>
      <c r="I75" s="4">
        <v>2100</v>
      </c>
      <c r="J75" s="4">
        <v>1218</v>
      </c>
      <c r="K75" s="2" t="s">
        <v>306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">
      <c r="A76" s="2" t="s">
        <v>380</v>
      </c>
      <c r="B76" s="6">
        <v>46160</v>
      </c>
      <c r="C76" s="2" t="s">
        <v>164</v>
      </c>
      <c r="D76" s="2" t="s">
        <v>254</v>
      </c>
      <c r="E76" s="2" t="s">
        <v>290</v>
      </c>
      <c r="F76" s="2">
        <v>6</v>
      </c>
      <c r="G76" s="4">
        <v>3500</v>
      </c>
      <c r="H76" s="5">
        <v>0</v>
      </c>
      <c r="I76" s="4">
        <v>21000</v>
      </c>
      <c r="J76" s="4">
        <v>11550</v>
      </c>
      <c r="K76" s="2" t="s">
        <v>306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 t="s">
        <v>381</v>
      </c>
      <c r="B77" s="6">
        <v>46072</v>
      </c>
      <c r="C77" s="2" t="s">
        <v>149</v>
      </c>
      <c r="D77" s="2" t="s">
        <v>249</v>
      </c>
      <c r="E77" s="2" t="s">
        <v>298</v>
      </c>
      <c r="F77" s="2">
        <v>5</v>
      </c>
      <c r="G77" s="4">
        <v>600</v>
      </c>
      <c r="H77" s="5">
        <v>0</v>
      </c>
      <c r="I77" s="4">
        <v>3000</v>
      </c>
      <c r="J77" s="4">
        <v>1950</v>
      </c>
      <c r="K77" s="2" t="s">
        <v>306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">
      <c r="A78" s="2" t="s">
        <v>382</v>
      </c>
      <c r="B78" s="6">
        <v>46034</v>
      </c>
      <c r="C78" s="2" t="s">
        <v>154</v>
      </c>
      <c r="D78" s="2" t="s">
        <v>261</v>
      </c>
      <c r="E78" s="2" t="s">
        <v>75</v>
      </c>
      <c r="F78" s="2">
        <v>3</v>
      </c>
      <c r="G78" s="4">
        <v>2200</v>
      </c>
      <c r="H78" s="5">
        <v>0</v>
      </c>
      <c r="I78" s="4">
        <v>6600</v>
      </c>
      <c r="J78" s="4">
        <v>3300</v>
      </c>
      <c r="K78" s="2" t="s">
        <v>306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">
      <c r="A79" s="2" t="s">
        <v>383</v>
      </c>
      <c r="B79" s="6">
        <v>46026</v>
      </c>
      <c r="C79" s="2" t="s">
        <v>199</v>
      </c>
      <c r="D79" s="2" t="s">
        <v>257</v>
      </c>
      <c r="E79" s="2" t="s">
        <v>75</v>
      </c>
      <c r="F79" s="2">
        <v>8</v>
      </c>
      <c r="G79" s="4">
        <v>1200</v>
      </c>
      <c r="H79" s="5">
        <v>0</v>
      </c>
      <c r="I79" s="4">
        <v>9600</v>
      </c>
      <c r="J79" s="4">
        <v>5760</v>
      </c>
      <c r="K79" s="2" t="s">
        <v>313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 t="s">
        <v>384</v>
      </c>
      <c r="B80" s="6">
        <v>46087</v>
      </c>
      <c r="C80" s="2" t="s">
        <v>162</v>
      </c>
      <c r="D80" s="2" t="s">
        <v>269</v>
      </c>
      <c r="E80" s="2" t="s">
        <v>294</v>
      </c>
      <c r="F80" s="2">
        <v>3</v>
      </c>
      <c r="G80" s="4">
        <v>1100</v>
      </c>
      <c r="H80" s="5">
        <v>0</v>
      </c>
      <c r="I80" s="4">
        <v>3300</v>
      </c>
      <c r="J80" s="4">
        <v>2244</v>
      </c>
      <c r="K80" s="2" t="s">
        <v>309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 t="s">
        <v>385</v>
      </c>
      <c r="B81" s="6">
        <v>46061</v>
      </c>
      <c r="C81" s="2" t="s">
        <v>131</v>
      </c>
      <c r="D81" s="2" t="s">
        <v>240</v>
      </c>
      <c r="E81" s="2" t="s">
        <v>287</v>
      </c>
      <c r="F81" s="2">
        <v>1</v>
      </c>
      <c r="G81" s="4">
        <v>300</v>
      </c>
      <c r="H81" s="5">
        <v>0</v>
      </c>
      <c r="I81" s="4">
        <v>300</v>
      </c>
      <c r="J81" s="4">
        <v>90</v>
      </c>
      <c r="K81" s="2" t="s">
        <v>313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 t="s">
        <v>386</v>
      </c>
      <c r="B82" s="6">
        <v>46080</v>
      </c>
      <c r="C82" s="2" t="s">
        <v>164</v>
      </c>
      <c r="D82" s="2" t="s">
        <v>240</v>
      </c>
      <c r="E82" s="2" t="s">
        <v>284</v>
      </c>
      <c r="F82" s="2">
        <v>7</v>
      </c>
      <c r="G82" s="4">
        <v>300</v>
      </c>
      <c r="H82" s="5">
        <v>0.1</v>
      </c>
      <c r="I82" s="4">
        <v>1890</v>
      </c>
      <c r="J82" s="4">
        <v>567</v>
      </c>
      <c r="K82" s="2" t="s">
        <v>313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 t="s">
        <v>387</v>
      </c>
      <c r="B83" s="6">
        <v>46168</v>
      </c>
      <c r="C83" s="2" t="s">
        <v>175</v>
      </c>
      <c r="D83" s="2" t="s">
        <v>267</v>
      </c>
      <c r="E83" s="2" t="s">
        <v>292</v>
      </c>
      <c r="F83" s="2">
        <v>7</v>
      </c>
      <c r="G83" s="4">
        <v>120</v>
      </c>
      <c r="H83" s="5">
        <v>0</v>
      </c>
      <c r="I83" s="4">
        <v>840</v>
      </c>
      <c r="J83" s="4">
        <v>319.2</v>
      </c>
      <c r="K83" s="2" t="s">
        <v>313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 t="s">
        <v>388</v>
      </c>
      <c r="B84" s="6">
        <v>46077</v>
      </c>
      <c r="C84" s="2" t="s">
        <v>118</v>
      </c>
      <c r="D84" s="2" t="s">
        <v>277</v>
      </c>
      <c r="E84" s="2" t="s">
        <v>284</v>
      </c>
      <c r="F84" s="2">
        <v>4</v>
      </c>
      <c r="G84" s="4">
        <v>900</v>
      </c>
      <c r="H84" s="5">
        <v>0.15</v>
      </c>
      <c r="I84" s="4">
        <v>3060</v>
      </c>
      <c r="J84" s="4">
        <v>795.6</v>
      </c>
      <c r="K84" s="2" t="s">
        <v>306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 t="s">
        <v>389</v>
      </c>
      <c r="B85" s="6">
        <v>46023</v>
      </c>
      <c r="C85" s="2" t="s">
        <v>215</v>
      </c>
      <c r="D85" s="2" t="s">
        <v>240</v>
      </c>
      <c r="E85" s="2" t="s">
        <v>287</v>
      </c>
      <c r="F85" s="2">
        <v>2</v>
      </c>
      <c r="G85" s="4">
        <v>300</v>
      </c>
      <c r="H85" s="5">
        <v>0</v>
      </c>
      <c r="I85" s="4">
        <v>600</v>
      </c>
      <c r="J85" s="4">
        <v>180</v>
      </c>
      <c r="K85" s="2" t="s">
        <v>309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 t="s">
        <v>390</v>
      </c>
      <c r="B86" s="6">
        <v>46095</v>
      </c>
      <c r="C86" s="2" t="s">
        <v>184</v>
      </c>
      <c r="D86" s="2" t="s">
        <v>277</v>
      </c>
      <c r="E86" s="2" t="s">
        <v>284</v>
      </c>
      <c r="F86" s="2">
        <v>4</v>
      </c>
      <c r="G86" s="4">
        <v>900</v>
      </c>
      <c r="H86" s="5">
        <v>0</v>
      </c>
      <c r="I86" s="4">
        <v>3600</v>
      </c>
      <c r="J86" s="4">
        <v>936</v>
      </c>
      <c r="K86" s="2" t="s">
        <v>309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">
      <c r="A87" s="2" t="s">
        <v>391</v>
      </c>
      <c r="B87" s="6">
        <v>46162</v>
      </c>
      <c r="C87" s="2" t="s">
        <v>122</v>
      </c>
      <c r="D87" s="2" t="s">
        <v>252</v>
      </c>
      <c r="E87" s="2" t="s">
        <v>290</v>
      </c>
      <c r="F87" s="2">
        <v>7</v>
      </c>
      <c r="G87" s="4">
        <v>900</v>
      </c>
      <c r="H87" s="5">
        <v>0</v>
      </c>
      <c r="I87" s="4">
        <v>6300</v>
      </c>
      <c r="J87" s="4">
        <v>4410</v>
      </c>
      <c r="K87" s="2" t="s">
        <v>306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 t="s">
        <v>392</v>
      </c>
      <c r="B88" s="6">
        <v>46065</v>
      </c>
      <c r="C88" s="2" t="s">
        <v>212</v>
      </c>
      <c r="D88" s="2" t="s">
        <v>245</v>
      </c>
      <c r="E88" s="2" t="s">
        <v>287</v>
      </c>
      <c r="F88" s="2">
        <v>2</v>
      </c>
      <c r="G88" s="4">
        <v>35</v>
      </c>
      <c r="H88" s="5">
        <v>0</v>
      </c>
      <c r="I88" s="4">
        <v>70</v>
      </c>
      <c r="J88" s="4">
        <v>29.4</v>
      </c>
      <c r="K88" s="2" t="s">
        <v>306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 t="s">
        <v>393</v>
      </c>
      <c r="B89" s="6">
        <v>46100</v>
      </c>
      <c r="C89" s="2" t="s">
        <v>206</v>
      </c>
      <c r="D89" s="2" t="s">
        <v>275</v>
      </c>
      <c r="E89" s="2" t="s">
        <v>298</v>
      </c>
      <c r="F89" s="2">
        <v>2</v>
      </c>
      <c r="G89" s="4">
        <v>450</v>
      </c>
      <c r="H89" s="5">
        <v>0.05</v>
      </c>
      <c r="I89" s="4">
        <v>855</v>
      </c>
      <c r="J89" s="4">
        <v>188.1</v>
      </c>
      <c r="K89" s="2" t="s">
        <v>309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">
      <c r="A90" s="2" t="s">
        <v>394</v>
      </c>
      <c r="B90" s="6">
        <v>46033</v>
      </c>
      <c r="C90" s="2" t="s">
        <v>160</v>
      </c>
      <c r="D90" s="2" t="s">
        <v>271</v>
      </c>
      <c r="E90" s="2" t="s">
        <v>294</v>
      </c>
      <c r="F90" s="2">
        <v>2</v>
      </c>
      <c r="G90" s="4">
        <v>2800</v>
      </c>
      <c r="H90" s="5">
        <v>0.1</v>
      </c>
      <c r="I90" s="4">
        <v>5040</v>
      </c>
      <c r="J90" s="4">
        <v>2620.8000000000002</v>
      </c>
      <c r="K90" s="2" t="s">
        <v>309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 t="s">
        <v>395</v>
      </c>
      <c r="B91" s="6">
        <v>46170</v>
      </c>
      <c r="C91" s="2" t="s">
        <v>225</v>
      </c>
      <c r="D91" s="2" t="s">
        <v>259</v>
      </c>
      <c r="E91" s="2" t="s">
        <v>290</v>
      </c>
      <c r="F91" s="2">
        <v>2</v>
      </c>
      <c r="G91" s="4">
        <v>450</v>
      </c>
      <c r="H91" s="5">
        <v>0</v>
      </c>
      <c r="I91" s="4">
        <v>900</v>
      </c>
      <c r="J91" s="4">
        <v>558</v>
      </c>
      <c r="K91" s="2" t="s">
        <v>313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">
      <c r="A92" s="2" t="s">
        <v>396</v>
      </c>
      <c r="B92" s="6">
        <v>46136</v>
      </c>
      <c r="C92" s="2" t="s">
        <v>108</v>
      </c>
      <c r="D92" s="2" t="s">
        <v>254</v>
      </c>
      <c r="E92" s="2" t="s">
        <v>290</v>
      </c>
      <c r="F92" s="2">
        <v>8</v>
      </c>
      <c r="G92" s="4">
        <v>3500</v>
      </c>
      <c r="H92" s="5">
        <v>0.1</v>
      </c>
      <c r="I92" s="4">
        <v>25200</v>
      </c>
      <c r="J92" s="4">
        <v>13860</v>
      </c>
      <c r="K92" s="2" t="s">
        <v>306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 t="s">
        <v>397</v>
      </c>
      <c r="B93" s="6">
        <v>46112</v>
      </c>
      <c r="C93" s="2" t="s">
        <v>146</v>
      </c>
      <c r="D93" s="2" t="s">
        <v>275</v>
      </c>
      <c r="E93" s="2" t="s">
        <v>296</v>
      </c>
      <c r="F93" s="2">
        <v>2</v>
      </c>
      <c r="G93" s="4">
        <v>450</v>
      </c>
      <c r="H93" s="5">
        <v>0.05</v>
      </c>
      <c r="I93" s="4">
        <v>855</v>
      </c>
      <c r="J93" s="4">
        <v>188.1</v>
      </c>
      <c r="K93" s="2" t="s">
        <v>309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 t="s">
        <v>398</v>
      </c>
      <c r="B94" s="6">
        <v>46149</v>
      </c>
      <c r="C94" s="2" t="s">
        <v>169</v>
      </c>
      <c r="D94" s="2" t="s">
        <v>259</v>
      </c>
      <c r="E94" s="2" t="s">
        <v>290</v>
      </c>
      <c r="F94" s="2">
        <v>6</v>
      </c>
      <c r="G94" s="4">
        <v>450</v>
      </c>
      <c r="H94" s="5">
        <v>0.05</v>
      </c>
      <c r="I94" s="4">
        <v>2565</v>
      </c>
      <c r="J94" s="4">
        <v>1590.3</v>
      </c>
      <c r="K94" s="2" t="s">
        <v>306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">
      <c r="A95" s="2" t="s">
        <v>399</v>
      </c>
      <c r="B95" s="6">
        <v>46103</v>
      </c>
      <c r="C95" s="2" t="s">
        <v>215</v>
      </c>
      <c r="D95" s="2" t="s">
        <v>263</v>
      </c>
      <c r="E95" s="2" t="s">
        <v>75</v>
      </c>
      <c r="F95" s="2">
        <v>8</v>
      </c>
      <c r="G95" s="4">
        <v>800</v>
      </c>
      <c r="H95" s="5">
        <v>0</v>
      </c>
      <c r="I95" s="4">
        <v>6400</v>
      </c>
      <c r="J95" s="4">
        <v>1728</v>
      </c>
      <c r="K95" s="2" t="s">
        <v>306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 t="s">
        <v>400</v>
      </c>
      <c r="B96" s="6">
        <v>46161</v>
      </c>
      <c r="C96" s="2" t="s">
        <v>167</v>
      </c>
      <c r="D96" s="2" t="s">
        <v>242</v>
      </c>
      <c r="E96" s="2" t="s">
        <v>296</v>
      </c>
      <c r="F96" s="2">
        <v>1</v>
      </c>
      <c r="G96" s="4">
        <v>70</v>
      </c>
      <c r="H96" s="5">
        <v>0.15</v>
      </c>
      <c r="I96" s="4">
        <v>59.5</v>
      </c>
      <c r="J96" s="4">
        <v>23.8</v>
      </c>
      <c r="K96" s="2" t="s">
        <v>309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">
      <c r="A97" s="2" t="s">
        <v>401</v>
      </c>
      <c r="B97" s="6">
        <v>46136</v>
      </c>
      <c r="C97" s="2" t="s">
        <v>180</v>
      </c>
      <c r="D97" s="2" t="s">
        <v>238</v>
      </c>
      <c r="E97" s="2" t="s">
        <v>294</v>
      </c>
      <c r="F97" s="2">
        <v>8</v>
      </c>
      <c r="G97" s="4">
        <v>1800</v>
      </c>
      <c r="H97" s="5">
        <v>0.15</v>
      </c>
      <c r="I97" s="4">
        <v>12240</v>
      </c>
      <c r="J97" s="4">
        <v>3060</v>
      </c>
      <c r="K97" s="2" t="s">
        <v>306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">
      <c r="A98" s="2" t="s">
        <v>402</v>
      </c>
      <c r="B98" s="6">
        <v>46147</v>
      </c>
      <c r="C98" s="2" t="s">
        <v>152</v>
      </c>
      <c r="D98" s="2" t="s">
        <v>254</v>
      </c>
      <c r="E98" s="2" t="s">
        <v>296</v>
      </c>
      <c r="F98" s="2">
        <v>8</v>
      </c>
      <c r="G98" s="4">
        <v>3500</v>
      </c>
      <c r="H98" s="5">
        <v>0.15</v>
      </c>
      <c r="I98" s="4">
        <v>23800</v>
      </c>
      <c r="J98" s="4">
        <v>13090</v>
      </c>
      <c r="K98" s="2" t="s">
        <v>306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 t="s">
        <v>403</v>
      </c>
      <c r="B99" s="6">
        <v>46026</v>
      </c>
      <c r="C99" s="2" t="s">
        <v>108</v>
      </c>
      <c r="D99" s="2" t="s">
        <v>277</v>
      </c>
      <c r="E99" s="2" t="s">
        <v>287</v>
      </c>
      <c r="F99" s="2">
        <v>5</v>
      </c>
      <c r="G99" s="4">
        <v>900</v>
      </c>
      <c r="H99" s="5">
        <v>0.1</v>
      </c>
      <c r="I99" s="4">
        <v>4050</v>
      </c>
      <c r="J99" s="4">
        <v>1053</v>
      </c>
      <c r="K99" s="2" t="s">
        <v>313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 t="s">
        <v>404</v>
      </c>
      <c r="B100" s="6">
        <v>46062</v>
      </c>
      <c r="C100" s="2" t="s">
        <v>180</v>
      </c>
      <c r="D100" s="2" t="s">
        <v>240</v>
      </c>
      <c r="E100" s="2" t="s">
        <v>284</v>
      </c>
      <c r="F100" s="2">
        <v>8</v>
      </c>
      <c r="G100" s="4">
        <v>300</v>
      </c>
      <c r="H100" s="5">
        <v>0</v>
      </c>
      <c r="I100" s="4">
        <v>2400</v>
      </c>
      <c r="J100" s="4">
        <v>720</v>
      </c>
      <c r="K100" s="2" t="s">
        <v>309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">
      <c r="A101" s="2" t="s">
        <v>405</v>
      </c>
      <c r="B101" s="6">
        <v>46143</v>
      </c>
      <c r="C101" s="2" t="s">
        <v>221</v>
      </c>
      <c r="D101" s="2" t="s">
        <v>257</v>
      </c>
      <c r="E101" s="2" t="s">
        <v>294</v>
      </c>
      <c r="F101" s="2">
        <v>7</v>
      </c>
      <c r="G101" s="4">
        <v>1200</v>
      </c>
      <c r="H101" s="5">
        <v>0.05</v>
      </c>
      <c r="I101" s="4">
        <v>7980</v>
      </c>
      <c r="J101" s="4">
        <v>4788</v>
      </c>
      <c r="K101" s="2" t="s">
        <v>306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 t="s">
        <v>406</v>
      </c>
      <c r="B102" s="6">
        <v>46093</v>
      </c>
      <c r="C102" s="2" t="s">
        <v>186</v>
      </c>
      <c r="D102" s="2" t="s">
        <v>273</v>
      </c>
      <c r="E102" s="2" t="s">
        <v>287</v>
      </c>
      <c r="F102" s="2">
        <v>3</v>
      </c>
      <c r="G102" s="4">
        <v>350</v>
      </c>
      <c r="H102" s="5">
        <v>0</v>
      </c>
      <c r="I102" s="4">
        <v>1050</v>
      </c>
      <c r="J102" s="4">
        <v>609</v>
      </c>
      <c r="K102" s="2" t="s">
        <v>309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">
      <c r="A103" s="2" t="s">
        <v>407</v>
      </c>
      <c r="B103" s="6">
        <v>46099</v>
      </c>
      <c r="C103" s="2" t="s">
        <v>169</v>
      </c>
      <c r="D103" s="2" t="s">
        <v>271</v>
      </c>
      <c r="E103" s="2" t="s">
        <v>290</v>
      </c>
      <c r="F103" s="2">
        <v>5</v>
      </c>
      <c r="G103" s="4">
        <v>2800</v>
      </c>
      <c r="H103" s="5">
        <v>0.15</v>
      </c>
      <c r="I103" s="4">
        <v>11900</v>
      </c>
      <c r="J103" s="4">
        <v>6188</v>
      </c>
      <c r="K103" s="2" t="s">
        <v>313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">
      <c r="A104" s="2" t="s">
        <v>408</v>
      </c>
      <c r="B104" s="6">
        <v>46108</v>
      </c>
      <c r="C104" s="2" t="s">
        <v>204</v>
      </c>
      <c r="D104" s="2" t="s">
        <v>269</v>
      </c>
      <c r="E104" s="2" t="s">
        <v>298</v>
      </c>
      <c r="F104" s="2">
        <v>8</v>
      </c>
      <c r="G104" s="4">
        <v>1100</v>
      </c>
      <c r="H104" s="5">
        <v>0</v>
      </c>
      <c r="I104" s="4">
        <v>8800</v>
      </c>
      <c r="J104" s="4">
        <v>5984</v>
      </c>
      <c r="K104" s="2" t="s">
        <v>313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 t="s">
        <v>409</v>
      </c>
      <c r="B105" s="6">
        <v>46084</v>
      </c>
      <c r="C105" s="2" t="s">
        <v>227</v>
      </c>
      <c r="D105" s="2" t="s">
        <v>273</v>
      </c>
      <c r="E105" s="2" t="s">
        <v>292</v>
      </c>
      <c r="F105" s="2">
        <v>4</v>
      </c>
      <c r="G105" s="4">
        <v>350</v>
      </c>
      <c r="H105" s="5">
        <v>0.15</v>
      </c>
      <c r="I105" s="4">
        <v>1190</v>
      </c>
      <c r="J105" s="4">
        <v>690.2</v>
      </c>
      <c r="K105" s="2" t="s">
        <v>313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 t="s">
        <v>410</v>
      </c>
      <c r="B106" s="6">
        <v>46144</v>
      </c>
      <c r="C106" s="2" t="s">
        <v>175</v>
      </c>
      <c r="D106" s="2" t="s">
        <v>252</v>
      </c>
      <c r="E106" s="2" t="s">
        <v>296</v>
      </c>
      <c r="F106" s="2">
        <v>1</v>
      </c>
      <c r="G106" s="4">
        <v>900</v>
      </c>
      <c r="H106" s="5">
        <v>0</v>
      </c>
      <c r="I106" s="4">
        <v>900</v>
      </c>
      <c r="J106" s="4">
        <v>630</v>
      </c>
      <c r="K106" s="2" t="s">
        <v>309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 t="s">
        <v>411</v>
      </c>
      <c r="B107" s="6">
        <v>46107</v>
      </c>
      <c r="C107" s="2" t="s">
        <v>175</v>
      </c>
      <c r="D107" s="2" t="s">
        <v>245</v>
      </c>
      <c r="E107" s="2" t="s">
        <v>287</v>
      </c>
      <c r="F107" s="2">
        <v>3</v>
      </c>
      <c r="G107" s="4">
        <v>35</v>
      </c>
      <c r="H107" s="5">
        <v>0.1</v>
      </c>
      <c r="I107" s="4">
        <v>94.5</v>
      </c>
      <c r="J107" s="4">
        <v>39.69</v>
      </c>
      <c r="K107" s="2" t="s">
        <v>306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 t="s">
        <v>412</v>
      </c>
      <c r="B108" s="6">
        <v>46059</v>
      </c>
      <c r="C108" s="2" t="s">
        <v>184</v>
      </c>
      <c r="D108" s="2" t="s">
        <v>242</v>
      </c>
      <c r="E108" s="2" t="s">
        <v>294</v>
      </c>
      <c r="F108" s="2">
        <v>1</v>
      </c>
      <c r="G108" s="4">
        <v>70</v>
      </c>
      <c r="H108" s="5">
        <v>0.15</v>
      </c>
      <c r="I108" s="4">
        <v>59.5</v>
      </c>
      <c r="J108" s="4">
        <v>23.8</v>
      </c>
      <c r="K108" s="2" t="s">
        <v>309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 t="s">
        <v>413</v>
      </c>
      <c r="B109" s="6">
        <v>46124</v>
      </c>
      <c r="C109" s="2" t="s">
        <v>212</v>
      </c>
      <c r="D109" s="2" t="s">
        <v>245</v>
      </c>
      <c r="E109" s="2" t="s">
        <v>298</v>
      </c>
      <c r="F109" s="2">
        <v>6</v>
      </c>
      <c r="G109" s="4">
        <v>35</v>
      </c>
      <c r="H109" s="5">
        <v>0.1</v>
      </c>
      <c r="I109" s="4">
        <v>189</v>
      </c>
      <c r="J109" s="4">
        <v>79.38</v>
      </c>
      <c r="K109" s="2" t="s">
        <v>306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 t="s">
        <v>414</v>
      </c>
      <c r="B110" s="6">
        <v>46032</v>
      </c>
      <c r="C110" s="2" t="s">
        <v>169</v>
      </c>
      <c r="D110" s="2" t="s">
        <v>273</v>
      </c>
      <c r="E110" s="2" t="s">
        <v>298</v>
      </c>
      <c r="F110" s="2">
        <v>8</v>
      </c>
      <c r="G110" s="4">
        <v>350</v>
      </c>
      <c r="H110" s="5">
        <v>0.1</v>
      </c>
      <c r="I110" s="4">
        <v>2520</v>
      </c>
      <c r="J110" s="4">
        <v>1461.6</v>
      </c>
      <c r="K110" s="2" t="s">
        <v>313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 t="s">
        <v>415</v>
      </c>
      <c r="B111" s="6">
        <v>46046</v>
      </c>
      <c r="C111" s="2" t="s">
        <v>122</v>
      </c>
      <c r="D111" s="2" t="s">
        <v>252</v>
      </c>
      <c r="E111" s="2" t="s">
        <v>292</v>
      </c>
      <c r="F111" s="2">
        <v>4</v>
      </c>
      <c r="G111" s="4">
        <v>900</v>
      </c>
      <c r="H111" s="5">
        <v>0.15</v>
      </c>
      <c r="I111" s="4">
        <v>3060</v>
      </c>
      <c r="J111" s="4">
        <v>2142</v>
      </c>
      <c r="K111" s="2" t="s">
        <v>309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 t="s">
        <v>416</v>
      </c>
      <c r="B112" s="6">
        <v>46106</v>
      </c>
      <c r="C112" s="2" t="s">
        <v>128</v>
      </c>
      <c r="D112" s="2" t="s">
        <v>242</v>
      </c>
      <c r="E112" s="2" t="s">
        <v>294</v>
      </c>
      <c r="F112" s="2">
        <v>1</v>
      </c>
      <c r="G112" s="4">
        <v>70</v>
      </c>
      <c r="H112" s="5">
        <v>0</v>
      </c>
      <c r="I112" s="4">
        <v>70</v>
      </c>
      <c r="J112" s="4">
        <v>28</v>
      </c>
      <c r="K112" s="2" t="s">
        <v>306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">
      <c r="A113" s="2" t="s">
        <v>417</v>
      </c>
      <c r="B113" s="6">
        <v>46128</v>
      </c>
      <c r="C113" s="2" t="s">
        <v>162</v>
      </c>
      <c r="D113" s="2" t="s">
        <v>261</v>
      </c>
      <c r="E113" s="2" t="s">
        <v>284</v>
      </c>
      <c r="F113" s="2">
        <v>4</v>
      </c>
      <c r="G113" s="4">
        <v>2200</v>
      </c>
      <c r="H113" s="5">
        <v>0.1</v>
      </c>
      <c r="I113" s="4">
        <v>7920</v>
      </c>
      <c r="J113" s="4">
        <v>3960</v>
      </c>
      <c r="K113" s="2" t="s">
        <v>313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 t="s">
        <v>418</v>
      </c>
      <c r="B114" s="6">
        <v>46084</v>
      </c>
      <c r="C114" s="2" t="s">
        <v>217</v>
      </c>
      <c r="D114" s="2" t="s">
        <v>247</v>
      </c>
      <c r="E114" s="2" t="s">
        <v>290</v>
      </c>
      <c r="F114" s="2">
        <v>7</v>
      </c>
      <c r="G114" s="4">
        <v>250</v>
      </c>
      <c r="H114" s="5">
        <v>0.1</v>
      </c>
      <c r="I114" s="4">
        <v>1575</v>
      </c>
      <c r="J114" s="4">
        <v>551.25</v>
      </c>
      <c r="K114" s="2" t="s">
        <v>309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 t="s">
        <v>419</v>
      </c>
      <c r="B115" s="6">
        <v>46025</v>
      </c>
      <c r="C115" s="2" t="s">
        <v>204</v>
      </c>
      <c r="D115" s="2" t="s">
        <v>245</v>
      </c>
      <c r="E115" s="2" t="s">
        <v>292</v>
      </c>
      <c r="F115" s="2">
        <v>8</v>
      </c>
      <c r="G115" s="4">
        <v>35</v>
      </c>
      <c r="H115" s="5">
        <v>0</v>
      </c>
      <c r="I115" s="4">
        <v>280</v>
      </c>
      <c r="J115" s="4">
        <v>117.6</v>
      </c>
      <c r="K115" s="2" t="s">
        <v>309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 t="s">
        <v>420</v>
      </c>
      <c r="B116" s="6">
        <v>46099</v>
      </c>
      <c r="C116" s="2" t="s">
        <v>162</v>
      </c>
      <c r="D116" s="2" t="s">
        <v>273</v>
      </c>
      <c r="E116" s="2" t="s">
        <v>294</v>
      </c>
      <c r="F116" s="2">
        <v>6</v>
      </c>
      <c r="G116" s="4">
        <v>350</v>
      </c>
      <c r="H116" s="5">
        <v>0.1</v>
      </c>
      <c r="I116" s="4">
        <v>1890</v>
      </c>
      <c r="J116" s="4">
        <v>1096.2</v>
      </c>
      <c r="K116" s="2" t="s">
        <v>309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">
      <c r="A117" s="2" t="s">
        <v>421</v>
      </c>
      <c r="B117" s="6">
        <v>46146</v>
      </c>
      <c r="C117" s="2" t="s">
        <v>219</v>
      </c>
      <c r="D117" s="2" t="s">
        <v>254</v>
      </c>
      <c r="E117" s="2" t="s">
        <v>292</v>
      </c>
      <c r="F117" s="2">
        <v>4</v>
      </c>
      <c r="G117" s="4">
        <v>3500</v>
      </c>
      <c r="H117" s="5">
        <v>0.05</v>
      </c>
      <c r="I117" s="4">
        <v>13300</v>
      </c>
      <c r="J117" s="4">
        <v>7315</v>
      </c>
      <c r="K117" s="2" t="s">
        <v>306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 t="s">
        <v>422</v>
      </c>
      <c r="B118" s="6">
        <v>46124</v>
      </c>
      <c r="C118" s="2" t="s">
        <v>156</v>
      </c>
      <c r="D118" s="2" t="s">
        <v>263</v>
      </c>
      <c r="E118" s="2" t="s">
        <v>298</v>
      </c>
      <c r="F118" s="2">
        <v>5</v>
      </c>
      <c r="G118" s="4">
        <v>800</v>
      </c>
      <c r="H118" s="5">
        <v>0</v>
      </c>
      <c r="I118" s="4">
        <v>4000</v>
      </c>
      <c r="J118" s="4">
        <v>1080</v>
      </c>
      <c r="K118" s="2" t="s">
        <v>306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 t="s">
        <v>423</v>
      </c>
      <c r="B119" s="6">
        <v>46081</v>
      </c>
      <c r="C119" s="2" t="s">
        <v>65</v>
      </c>
      <c r="D119" s="2" t="s">
        <v>275</v>
      </c>
      <c r="E119" s="2" t="s">
        <v>75</v>
      </c>
      <c r="F119" s="2">
        <v>8</v>
      </c>
      <c r="G119" s="4">
        <v>450</v>
      </c>
      <c r="H119" s="5">
        <v>0</v>
      </c>
      <c r="I119" s="4">
        <v>3600</v>
      </c>
      <c r="J119" s="4">
        <v>792</v>
      </c>
      <c r="K119" s="2" t="s">
        <v>313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 t="s">
        <v>424</v>
      </c>
      <c r="B120" s="6">
        <v>46047</v>
      </c>
      <c r="C120" s="2" t="s">
        <v>171</v>
      </c>
      <c r="D120" s="2" t="s">
        <v>252</v>
      </c>
      <c r="E120" s="2" t="s">
        <v>298</v>
      </c>
      <c r="F120" s="2">
        <v>3</v>
      </c>
      <c r="G120" s="4">
        <v>900</v>
      </c>
      <c r="H120" s="5">
        <v>0.15</v>
      </c>
      <c r="I120" s="4">
        <v>2295</v>
      </c>
      <c r="J120" s="4">
        <v>1606.5</v>
      </c>
      <c r="K120" s="2" t="s">
        <v>306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 t="s">
        <v>425</v>
      </c>
      <c r="B121" s="6">
        <v>46098</v>
      </c>
      <c r="C121" s="2" t="s">
        <v>164</v>
      </c>
      <c r="D121" s="2" t="s">
        <v>267</v>
      </c>
      <c r="E121" s="2" t="s">
        <v>298</v>
      </c>
      <c r="F121" s="2">
        <v>3</v>
      </c>
      <c r="G121" s="4">
        <v>120</v>
      </c>
      <c r="H121" s="5">
        <v>0</v>
      </c>
      <c r="I121" s="4">
        <v>360</v>
      </c>
      <c r="J121" s="4">
        <v>136.80000000000001</v>
      </c>
      <c r="K121" s="2" t="s">
        <v>306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 t="s">
        <v>426</v>
      </c>
      <c r="B122" s="6">
        <v>46151</v>
      </c>
      <c r="C122" s="2" t="s">
        <v>225</v>
      </c>
      <c r="D122" s="2" t="s">
        <v>265</v>
      </c>
      <c r="E122" s="2" t="s">
        <v>290</v>
      </c>
      <c r="F122" s="2">
        <v>6</v>
      </c>
      <c r="G122" s="4">
        <v>650</v>
      </c>
      <c r="H122" s="5">
        <v>0.1</v>
      </c>
      <c r="I122" s="4">
        <v>3510</v>
      </c>
      <c r="J122" s="4">
        <v>1123.2</v>
      </c>
      <c r="K122" s="2" t="s">
        <v>306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">
      <c r="A123" s="2" t="s">
        <v>427</v>
      </c>
      <c r="B123" s="6">
        <v>46109</v>
      </c>
      <c r="C123" s="2" t="s">
        <v>143</v>
      </c>
      <c r="D123" s="2" t="s">
        <v>254</v>
      </c>
      <c r="E123" s="2" t="s">
        <v>298</v>
      </c>
      <c r="F123" s="2">
        <v>5</v>
      </c>
      <c r="G123" s="4">
        <v>3500</v>
      </c>
      <c r="H123" s="5">
        <v>0.15</v>
      </c>
      <c r="I123" s="4">
        <v>14875</v>
      </c>
      <c r="J123" s="4">
        <v>8181.25</v>
      </c>
      <c r="K123" s="2" t="s">
        <v>306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 t="s">
        <v>428</v>
      </c>
      <c r="B124" s="6">
        <v>46116</v>
      </c>
      <c r="C124" s="2" t="s">
        <v>186</v>
      </c>
      <c r="D124" s="2" t="s">
        <v>240</v>
      </c>
      <c r="E124" s="2" t="s">
        <v>287</v>
      </c>
      <c r="F124" s="2">
        <v>7</v>
      </c>
      <c r="G124" s="4">
        <v>300</v>
      </c>
      <c r="H124" s="5">
        <v>0.1</v>
      </c>
      <c r="I124" s="4">
        <v>1890</v>
      </c>
      <c r="J124" s="4">
        <v>567</v>
      </c>
      <c r="K124" s="2" t="s">
        <v>306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">
      <c r="A125" s="2" t="s">
        <v>429</v>
      </c>
      <c r="B125" s="6">
        <v>46090</v>
      </c>
      <c r="C125" s="2" t="s">
        <v>177</v>
      </c>
      <c r="D125" s="2" t="s">
        <v>70</v>
      </c>
      <c r="E125" s="2" t="s">
        <v>284</v>
      </c>
      <c r="F125" s="2">
        <v>8</v>
      </c>
      <c r="G125" s="4">
        <v>1200</v>
      </c>
      <c r="H125" s="5">
        <v>0</v>
      </c>
      <c r="I125" s="4">
        <v>9600</v>
      </c>
      <c r="J125" s="4">
        <v>2688</v>
      </c>
      <c r="K125" s="2" t="s">
        <v>313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">
      <c r="A126" s="2" t="s">
        <v>430</v>
      </c>
      <c r="B126" s="6">
        <v>46166</v>
      </c>
      <c r="C126" s="2" t="s">
        <v>175</v>
      </c>
      <c r="D126" s="2" t="s">
        <v>261</v>
      </c>
      <c r="E126" s="2" t="s">
        <v>287</v>
      </c>
      <c r="F126" s="2">
        <v>8</v>
      </c>
      <c r="G126" s="4">
        <v>2200</v>
      </c>
      <c r="H126" s="5">
        <v>0</v>
      </c>
      <c r="I126" s="4">
        <v>17600</v>
      </c>
      <c r="J126" s="4">
        <v>8800</v>
      </c>
      <c r="K126" s="2" t="s">
        <v>306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 t="s">
        <v>431</v>
      </c>
      <c r="B127" s="6">
        <v>46127</v>
      </c>
      <c r="C127" s="2" t="s">
        <v>208</v>
      </c>
      <c r="D127" s="2" t="s">
        <v>252</v>
      </c>
      <c r="E127" s="2" t="s">
        <v>292</v>
      </c>
      <c r="F127" s="2">
        <v>5</v>
      </c>
      <c r="G127" s="4">
        <v>900</v>
      </c>
      <c r="H127" s="5">
        <v>0.15</v>
      </c>
      <c r="I127" s="4">
        <v>3825</v>
      </c>
      <c r="J127" s="4">
        <v>2677.5</v>
      </c>
      <c r="K127" s="2" t="s">
        <v>306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">
      <c r="A128" s="2" t="s">
        <v>432</v>
      </c>
      <c r="B128" s="6">
        <v>46047</v>
      </c>
      <c r="C128" s="2" t="s">
        <v>136</v>
      </c>
      <c r="D128" s="2" t="s">
        <v>238</v>
      </c>
      <c r="E128" s="2" t="s">
        <v>292</v>
      </c>
      <c r="F128" s="2">
        <v>8</v>
      </c>
      <c r="G128" s="4">
        <v>1800</v>
      </c>
      <c r="H128" s="5">
        <v>0</v>
      </c>
      <c r="I128" s="4">
        <v>14400</v>
      </c>
      <c r="J128" s="4">
        <v>3600</v>
      </c>
      <c r="K128" s="2" t="s">
        <v>306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 t="s">
        <v>433</v>
      </c>
      <c r="B129" s="6">
        <v>46062</v>
      </c>
      <c r="C129" s="2" t="s">
        <v>197</v>
      </c>
      <c r="D129" s="2" t="s">
        <v>245</v>
      </c>
      <c r="E129" s="2" t="s">
        <v>294</v>
      </c>
      <c r="F129" s="2">
        <v>7</v>
      </c>
      <c r="G129" s="4">
        <v>35</v>
      </c>
      <c r="H129" s="5">
        <v>0.1</v>
      </c>
      <c r="I129" s="4">
        <v>220.5</v>
      </c>
      <c r="J129" s="4">
        <v>92.61</v>
      </c>
      <c r="K129" s="2" t="s">
        <v>309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 t="s">
        <v>434</v>
      </c>
      <c r="B130" s="6">
        <v>46117</v>
      </c>
      <c r="C130" s="2" t="s">
        <v>212</v>
      </c>
      <c r="D130" s="2" t="s">
        <v>242</v>
      </c>
      <c r="E130" s="2" t="s">
        <v>296</v>
      </c>
      <c r="F130" s="2">
        <v>5</v>
      </c>
      <c r="G130" s="4">
        <v>70</v>
      </c>
      <c r="H130" s="5">
        <v>0</v>
      </c>
      <c r="I130" s="4">
        <v>350</v>
      </c>
      <c r="J130" s="4">
        <v>140</v>
      </c>
      <c r="K130" s="2" t="s">
        <v>306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 t="s">
        <v>435</v>
      </c>
      <c r="B131" s="6">
        <v>46117</v>
      </c>
      <c r="C131" s="2" t="s">
        <v>184</v>
      </c>
      <c r="D131" s="2" t="s">
        <v>267</v>
      </c>
      <c r="E131" s="2" t="s">
        <v>294</v>
      </c>
      <c r="F131" s="2">
        <v>2</v>
      </c>
      <c r="G131" s="4">
        <v>120</v>
      </c>
      <c r="H131" s="5">
        <v>0.15</v>
      </c>
      <c r="I131" s="4">
        <v>204</v>
      </c>
      <c r="J131" s="4">
        <v>77.52</v>
      </c>
      <c r="K131" s="2" t="s">
        <v>313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">
      <c r="A132" s="2" t="s">
        <v>436</v>
      </c>
      <c r="B132" s="6">
        <v>46139</v>
      </c>
      <c r="C132" s="2" t="s">
        <v>212</v>
      </c>
      <c r="D132" s="2" t="s">
        <v>261</v>
      </c>
      <c r="E132" s="2" t="s">
        <v>298</v>
      </c>
      <c r="F132" s="2">
        <v>4</v>
      </c>
      <c r="G132" s="4">
        <v>2200</v>
      </c>
      <c r="H132" s="5">
        <v>0</v>
      </c>
      <c r="I132" s="4">
        <v>8800</v>
      </c>
      <c r="J132" s="4">
        <v>4400</v>
      </c>
      <c r="K132" s="2" t="s">
        <v>306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 t="s">
        <v>437</v>
      </c>
      <c r="B133" s="6">
        <v>46085</v>
      </c>
      <c r="C133" s="2" t="s">
        <v>215</v>
      </c>
      <c r="D133" s="2" t="s">
        <v>249</v>
      </c>
      <c r="E133" s="2" t="s">
        <v>287</v>
      </c>
      <c r="F133" s="2">
        <v>1</v>
      </c>
      <c r="G133" s="4">
        <v>600</v>
      </c>
      <c r="H133" s="5">
        <v>0</v>
      </c>
      <c r="I133" s="4">
        <v>600</v>
      </c>
      <c r="J133" s="4">
        <v>390</v>
      </c>
      <c r="K133" s="2" t="s">
        <v>306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 t="s">
        <v>438</v>
      </c>
      <c r="B134" s="6">
        <v>46107</v>
      </c>
      <c r="C134" s="2" t="s">
        <v>202</v>
      </c>
      <c r="D134" s="2" t="s">
        <v>249</v>
      </c>
      <c r="E134" s="2" t="s">
        <v>284</v>
      </c>
      <c r="F134" s="2">
        <v>4</v>
      </c>
      <c r="G134" s="4">
        <v>600</v>
      </c>
      <c r="H134" s="5">
        <v>0</v>
      </c>
      <c r="I134" s="4">
        <v>2400</v>
      </c>
      <c r="J134" s="4">
        <v>1560</v>
      </c>
      <c r="K134" s="2" t="s">
        <v>306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 t="s">
        <v>439</v>
      </c>
      <c r="B135" s="6">
        <v>46087</v>
      </c>
      <c r="C135" s="2" t="s">
        <v>206</v>
      </c>
      <c r="D135" s="2" t="s">
        <v>70</v>
      </c>
      <c r="E135" s="2" t="s">
        <v>287</v>
      </c>
      <c r="F135" s="2">
        <v>3</v>
      </c>
      <c r="G135" s="4">
        <v>1200</v>
      </c>
      <c r="H135" s="5">
        <v>0.1</v>
      </c>
      <c r="I135" s="4">
        <v>3240</v>
      </c>
      <c r="J135" s="4">
        <v>907.2</v>
      </c>
      <c r="K135" s="2" t="s">
        <v>306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 t="s">
        <v>440</v>
      </c>
      <c r="B136" s="6">
        <v>46105</v>
      </c>
      <c r="C136" s="2" t="s">
        <v>131</v>
      </c>
      <c r="D136" s="2" t="s">
        <v>70</v>
      </c>
      <c r="E136" s="2" t="s">
        <v>296</v>
      </c>
      <c r="F136" s="2">
        <v>4</v>
      </c>
      <c r="G136" s="4">
        <v>1200</v>
      </c>
      <c r="H136" s="5">
        <v>0.1</v>
      </c>
      <c r="I136" s="4">
        <v>4320</v>
      </c>
      <c r="J136" s="4">
        <v>1209.5999999999999</v>
      </c>
      <c r="K136" s="2" t="s">
        <v>306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">
      <c r="A137" s="2" t="s">
        <v>441</v>
      </c>
      <c r="B137" s="6">
        <v>46039</v>
      </c>
      <c r="C137" s="2" t="s">
        <v>146</v>
      </c>
      <c r="D137" s="2" t="s">
        <v>254</v>
      </c>
      <c r="E137" s="2" t="s">
        <v>296</v>
      </c>
      <c r="F137" s="2">
        <v>2</v>
      </c>
      <c r="G137" s="4">
        <v>3500</v>
      </c>
      <c r="H137" s="5">
        <v>0.15</v>
      </c>
      <c r="I137" s="4">
        <v>5950</v>
      </c>
      <c r="J137" s="4">
        <v>3272.5</v>
      </c>
      <c r="K137" s="2" t="s">
        <v>309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">
      <c r="A138" s="2" t="s">
        <v>442</v>
      </c>
      <c r="B138" s="6">
        <v>46079</v>
      </c>
      <c r="C138" s="2" t="s">
        <v>184</v>
      </c>
      <c r="D138" s="2" t="s">
        <v>261</v>
      </c>
      <c r="E138" s="2" t="s">
        <v>284</v>
      </c>
      <c r="F138" s="2">
        <v>8</v>
      </c>
      <c r="G138" s="4">
        <v>2200</v>
      </c>
      <c r="H138" s="5">
        <v>0.1</v>
      </c>
      <c r="I138" s="4">
        <v>15840</v>
      </c>
      <c r="J138" s="4">
        <v>7920</v>
      </c>
      <c r="K138" s="2" t="s">
        <v>313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 t="s">
        <v>443</v>
      </c>
      <c r="B139" s="6">
        <v>46125</v>
      </c>
      <c r="C139" s="2" t="s">
        <v>114</v>
      </c>
      <c r="D139" s="2" t="s">
        <v>271</v>
      </c>
      <c r="E139" s="2" t="s">
        <v>284</v>
      </c>
      <c r="F139" s="2">
        <v>1</v>
      </c>
      <c r="G139" s="4">
        <v>2800</v>
      </c>
      <c r="H139" s="5">
        <v>0.05</v>
      </c>
      <c r="I139" s="4">
        <v>2660</v>
      </c>
      <c r="J139" s="4">
        <v>1383.2</v>
      </c>
      <c r="K139" s="2" t="s">
        <v>309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 t="s">
        <v>444</v>
      </c>
      <c r="B140" s="6">
        <v>46105</v>
      </c>
      <c r="C140" s="2" t="s">
        <v>217</v>
      </c>
      <c r="D140" s="2" t="s">
        <v>242</v>
      </c>
      <c r="E140" s="2" t="s">
        <v>298</v>
      </c>
      <c r="F140" s="2">
        <v>2</v>
      </c>
      <c r="G140" s="4">
        <v>70</v>
      </c>
      <c r="H140" s="5">
        <v>0</v>
      </c>
      <c r="I140" s="4">
        <v>140</v>
      </c>
      <c r="J140" s="4">
        <v>56</v>
      </c>
      <c r="K140" s="2" t="s">
        <v>313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 t="s">
        <v>445</v>
      </c>
      <c r="B141" s="6">
        <v>46158</v>
      </c>
      <c r="C141" s="2" t="s">
        <v>140</v>
      </c>
      <c r="D141" s="2" t="s">
        <v>240</v>
      </c>
      <c r="E141" s="2" t="s">
        <v>298</v>
      </c>
      <c r="F141" s="2">
        <v>7</v>
      </c>
      <c r="G141" s="4">
        <v>300</v>
      </c>
      <c r="H141" s="5">
        <v>0.1</v>
      </c>
      <c r="I141" s="4">
        <v>1890</v>
      </c>
      <c r="J141" s="4">
        <v>567</v>
      </c>
      <c r="K141" s="2" t="s">
        <v>306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 t="s">
        <v>446</v>
      </c>
      <c r="B142" s="6">
        <v>46164</v>
      </c>
      <c r="C142" s="2" t="s">
        <v>186</v>
      </c>
      <c r="D142" s="2" t="s">
        <v>271</v>
      </c>
      <c r="E142" s="2" t="s">
        <v>287</v>
      </c>
      <c r="F142" s="2">
        <v>2</v>
      </c>
      <c r="G142" s="4">
        <v>2800</v>
      </c>
      <c r="H142" s="5">
        <v>0.15</v>
      </c>
      <c r="I142" s="4">
        <v>4760</v>
      </c>
      <c r="J142" s="4">
        <v>2475.1999999999998</v>
      </c>
      <c r="K142" s="2" t="s">
        <v>306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 t="s">
        <v>447</v>
      </c>
      <c r="B143" s="6">
        <v>46125</v>
      </c>
      <c r="C143" s="2" t="s">
        <v>182</v>
      </c>
      <c r="D143" s="2" t="s">
        <v>267</v>
      </c>
      <c r="E143" s="2" t="s">
        <v>296</v>
      </c>
      <c r="F143" s="2">
        <v>6</v>
      </c>
      <c r="G143" s="4">
        <v>120</v>
      </c>
      <c r="H143" s="5">
        <v>0.05</v>
      </c>
      <c r="I143" s="4">
        <v>684</v>
      </c>
      <c r="J143" s="4">
        <v>259.92</v>
      </c>
      <c r="K143" s="2" t="s">
        <v>309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 t="s">
        <v>448</v>
      </c>
      <c r="B144" s="6">
        <v>46062</v>
      </c>
      <c r="C144" s="2" t="s">
        <v>223</v>
      </c>
      <c r="D144" s="2" t="s">
        <v>242</v>
      </c>
      <c r="E144" s="2" t="s">
        <v>294</v>
      </c>
      <c r="F144" s="2">
        <v>5</v>
      </c>
      <c r="G144" s="4">
        <v>70</v>
      </c>
      <c r="H144" s="5">
        <v>0</v>
      </c>
      <c r="I144" s="4">
        <v>350</v>
      </c>
      <c r="J144" s="4">
        <v>140</v>
      </c>
      <c r="K144" s="2" t="s">
        <v>309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 t="s">
        <v>449</v>
      </c>
      <c r="B145" s="6">
        <v>46118</v>
      </c>
      <c r="C145" s="2" t="s">
        <v>122</v>
      </c>
      <c r="D145" s="2" t="s">
        <v>240</v>
      </c>
      <c r="E145" s="2" t="s">
        <v>284</v>
      </c>
      <c r="F145" s="2">
        <v>7</v>
      </c>
      <c r="G145" s="4">
        <v>300</v>
      </c>
      <c r="H145" s="5">
        <v>0</v>
      </c>
      <c r="I145" s="4">
        <v>2100</v>
      </c>
      <c r="J145" s="4">
        <v>630</v>
      </c>
      <c r="K145" s="2" t="s">
        <v>306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 t="s">
        <v>450</v>
      </c>
      <c r="B146" s="6">
        <v>46113</v>
      </c>
      <c r="C146" s="2" t="s">
        <v>199</v>
      </c>
      <c r="D146" s="2" t="s">
        <v>238</v>
      </c>
      <c r="E146" s="2" t="s">
        <v>292</v>
      </c>
      <c r="F146" s="2">
        <v>2</v>
      </c>
      <c r="G146" s="4">
        <v>1800</v>
      </c>
      <c r="H146" s="5">
        <v>0.05</v>
      </c>
      <c r="I146" s="4">
        <v>3420</v>
      </c>
      <c r="J146" s="4">
        <v>855</v>
      </c>
      <c r="K146" s="2" t="s">
        <v>309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">
      <c r="A147" s="2" t="s">
        <v>451</v>
      </c>
      <c r="B147" s="6">
        <v>46170</v>
      </c>
      <c r="C147" s="2" t="s">
        <v>223</v>
      </c>
      <c r="D147" s="2" t="s">
        <v>238</v>
      </c>
      <c r="E147" s="2" t="s">
        <v>292</v>
      </c>
      <c r="F147" s="2">
        <v>6</v>
      </c>
      <c r="G147" s="4">
        <v>1800</v>
      </c>
      <c r="H147" s="5">
        <v>0</v>
      </c>
      <c r="I147" s="4">
        <v>10800</v>
      </c>
      <c r="J147" s="4">
        <v>2700</v>
      </c>
      <c r="K147" s="2" t="s">
        <v>313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 t="s">
        <v>452</v>
      </c>
      <c r="B148" s="6">
        <v>46165</v>
      </c>
      <c r="C148" s="2" t="s">
        <v>152</v>
      </c>
      <c r="D148" s="2" t="s">
        <v>245</v>
      </c>
      <c r="E148" s="2" t="s">
        <v>287</v>
      </c>
      <c r="F148" s="2">
        <v>2</v>
      </c>
      <c r="G148" s="4">
        <v>35</v>
      </c>
      <c r="H148" s="5">
        <v>0</v>
      </c>
      <c r="I148" s="4">
        <v>70</v>
      </c>
      <c r="J148" s="4">
        <v>29.4</v>
      </c>
      <c r="K148" s="2" t="s">
        <v>306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 t="s">
        <v>453</v>
      </c>
      <c r="B149" s="6">
        <v>46091</v>
      </c>
      <c r="C149" s="2" t="s">
        <v>131</v>
      </c>
      <c r="D149" s="2" t="s">
        <v>254</v>
      </c>
      <c r="E149" s="2" t="s">
        <v>296</v>
      </c>
      <c r="F149" s="2">
        <v>1</v>
      </c>
      <c r="G149" s="4">
        <v>3500</v>
      </c>
      <c r="H149" s="5">
        <v>0.1</v>
      </c>
      <c r="I149" s="4">
        <v>3150</v>
      </c>
      <c r="J149" s="4">
        <v>1732.5</v>
      </c>
      <c r="K149" s="2" t="s">
        <v>306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">
      <c r="A150" s="2" t="s">
        <v>454</v>
      </c>
      <c r="B150" s="6">
        <v>46024</v>
      </c>
      <c r="C150" s="2" t="s">
        <v>146</v>
      </c>
      <c r="D150" s="2" t="s">
        <v>254</v>
      </c>
      <c r="E150" s="2" t="s">
        <v>296</v>
      </c>
      <c r="F150" s="2">
        <v>6</v>
      </c>
      <c r="G150" s="4">
        <v>3500</v>
      </c>
      <c r="H150" s="5">
        <v>0</v>
      </c>
      <c r="I150" s="4">
        <v>21000</v>
      </c>
      <c r="J150" s="4">
        <v>11550</v>
      </c>
      <c r="K150" s="2" t="s">
        <v>306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 t="s">
        <v>455</v>
      </c>
      <c r="B151" s="6">
        <v>46030</v>
      </c>
      <c r="C151" s="2" t="s">
        <v>140</v>
      </c>
      <c r="D151" s="2" t="s">
        <v>275</v>
      </c>
      <c r="E151" s="2" t="s">
        <v>290</v>
      </c>
      <c r="F151" s="2">
        <v>3</v>
      </c>
      <c r="G151" s="4">
        <v>450</v>
      </c>
      <c r="H151" s="5">
        <v>0.15</v>
      </c>
      <c r="I151" s="4">
        <v>1147.5</v>
      </c>
      <c r="J151" s="4">
        <v>252.45</v>
      </c>
      <c r="K151" s="2" t="s">
        <v>306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">
      <c r="A152" s="2" t="s">
        <v>456</v>
      </c>
      <c r="B152" s="6">
        <v>46063</v>
      </c>
      <c r="C152" s="2" t="s">
        <v>225</v>
      </c>
      <c r="D152" s="2" t="s">
        <v>271</v>
      </c>
      <c r="E152" s="2" t="s">
        <v>298</v>
      </c>
      <c r="F152" s="2">
        <v>8</v>
      </c>
      <c r="G152" s="4">
        <v>2800</v>
      </c>
      <c r="H152" s="5">
        <v>0</v>
      </c>
      <c r="I152" s="4">
        <v>22400</v>
      </c>
      <c r="J152" s="4">
        <v>11648</v>
      </c>
      <c r="K152" s="2" t="s">
        <v>306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 t="s">
        <v>457</v>
      </c>
      <c r="B153" s="6">
        <v>46063</v>
      </c>
      <c r="C153" s="2" t="s">
        <v>164</v>
      </c>
      <c r="D153" s="2" t="s">
        <v>259</v>
      </c>
      <c r="E153" s="2" t="s">
        <v>284</v>
      </c>
      <c r="F153" s="2">
        <v>1</v>
      </c>
      <c r="G153" s="4">
        <v>450</v>
      </c>
      <c r="H153" s="5">
        <v>0</v>
      </c>
      <c r="I153" s="4">
        <v>450</v>
      </c>
      <c r="J153" s="4">
        <v>279</v>
      </c>
      <c r="K153" s="2" t="s">
        <v>313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 t="s">
        <v>458</v>
      </c>
      <c r="B154" s="6">
        <v>46136</v>
      </c>
      <c r="C154" s="2" t="s">
        <v>118</v>
      </c>
      <c r="D154" s="2" t="s">
        <v>240</v>
      </c>
      <c r="E154" s="2" t="s">
        <v>292</v>
      </c>
      <c r="F154" s="2">
        <v>8</v>
      </c>
      <c r="G154" s="4">
        <v>300</v>
      </c>
      <c r="H154" s="5">
        <v>0.1</v>
      </c>
      <c r="I154" s="4">
        <v>2160</v>
      </c>
      <c r="J154" s="4">
        <v>648</v>
      </c>
      <c r="K154" s="2" t="s">
        <v>309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 t="s">
        <v>459</v>
      </c>
      <c r="B155" s="6">
        <v>46051</v>
      </c>
      <c r="C155" s="2" t="s">
        <v>160</v>
      </c>
      <c r="D155" s="2" t="s">
        <v>249</v>
      </c>
      <c r="E155" s="2" t="s">
        <v>284</v>
      </c>
      <c r="F155" s="2">
        <v>6</v>
      </c>
      <c r="G155" s="4">
        <v>600</v>
      </c>
      <c r="H155" s="5">
        <v>0.05</v>
      </c>
      <c r="I155" s="4">
        <v>3420</v>
      </c>
      <c r="J155" s="4">
        <v>2223</v>
      </c>
      <c r="K155" s="2" t="s">
        <v>306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 t="s">
        <v>460</v>
      </c>
      <c r="B156" s="6">
        <v>46124</v>
      </c>
      <c r="C156" s="2" t="s">
        <v>217</v>
      </c>
      <c r="D156" s="2" t="s">
        <v>275</v>
      </c>
      <c r="E156" s="2" t="s">
        <v>298</v>
      </c>
      <c r="F156" s="2">
        <v>1</v>
      </c>
      <c r="G156" s="4">
        <v>450</v>
      </c>
      <c r="H156" s="5">
        <v>0</v>
      </c>
      <c r="I156" s="4">
        <v>450</v>
      </c>
      <c r="J156" s="4">
        <v>99</v>
      </c>
      <c r="K156" s="2" t="s">
        <v>313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 t="s">
        <v>461</v>
      </c>
      <c r="B157" s="6">
        <v>46097</v>
      </c>
      <c r="C157" s="2" t="s">
        <v>118</v>
      </c>
      <c r="D157" s="2" t="s">
        <v>70</v>
      </c>
      <c r="E157" s="2" t="s">
        <v>75</v>
      </c>
      <c r="F157" s="2">
        <v>3</v>
      </c>
      <c r="G157" s="4">
        <v>1200</v>
      </c>
      <c r="H157" s="5">
        <v>0</v>
      </c>
      <c r="I157" s="4">
        <v>3600</v>
      </c>
      <c r="J157" s="4">
        <v>1008</v>
      </c>
      <c r="K157" s="2" t="s">
        <v>306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 t="s">
        <v>462</v>
      </c>
      <c r="B158" s="6">
        <v>46120</v>
      </c>
      <c r="C158" s="2" t="s">
        <v>131</v>
      </c>
      <c r="D158" s="2" t="s">
        <v>70</v>
      </c>
      <c r="E158" s="2" t="s">
        <v>296</v>
      </c>
      <c r="F158" s="2">
        <v>3</v>
      </c>
      <c r="G158" s="4">
        <v>1200</v>
      </c>
      <c r="H158" s="5">
        <v>0</v>
      </c>
      <c r="I158" s="4">
        <v>3600</v>
      </c>
      <c r="J158" s="4">
        <v>1008</v>
      </c>
      <c r="K158" s="2" t="s">
        <v>313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 t="s">
        <v>463</v>
      </c>
      <c r="B159" s="6">
        <v>46033</v>
      </c>
      <c r="C159" s="2" t="s">
        <v>221</v>
      </c>
      <c r="D159" s="2" t="s">
        <v>252</v>
      </c>
      <c r="E159" s="2" t="s">
        <v>294</v>
      </c>
      <c r="F159" s="2">
        <v>2</v>
      </c>
      <c r="G159" s="4">
        <v>900</v>
      </c>
      <c r="H159" s="5">
        <v>0.05</v>
      </c>
      <c r="I159" s="4">
        <v>1710</v>
      </c>
      <c r="J159" s="4">
        <v>1197</v>
      </c>
      <c r="K159" s="2" t="s">
        <v>309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 t="s">
        <v>464</v>
      </c>
      <c r="B160" s="6">
        <v>46126</v>
      </c>
      <c r="C160" s="2" t="s">
        <v>108</v>
      </c>
      <c r="D160" s="2" t="s">
        <v>267</v>
      </c>
      <c r="E160" s="2" t="s">
        <v>294</v>
      </c>
      <c r="F160" s="2">
        <v>7</v>
      </c>
      <c r="G160" s="4">
        <v>120</v>
      </c>
      <c r="H160" s="5">
        <v>0.1</v>
      </c>
      <c r="I160" s="4">
        <v>756</v>
      </c>
      <c r="J160" s="4">
        <v>287.27999999999997</v>
      </c>
      <c r="K160" s="2" t="s">
        <v>309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 t="s">
        <v>465</v>
      </c>
      <c r="B161" s="6">
        <v>46140</v>
      </c>
      <c r="C161" s="2" t="s">
        <v>162</v>
      </c>
      <c r="D161" s="2" t="s">
        <v>242</v>
      </c>
      <c r="E161" s="2" t="s">
        <v>294</v>
      </c>
      <c r="F161" s="2">
        <v>3</v>
      </c>
      <c r="G161" s="4">
        <v>70</v>
      </c>
      <c r="H161" s="5">
        <v>0.1</v>
      </c>
      <c r="I161" s="4">
        <v>189</v>
      </c>
      <c r="J161" s="4">
        <v>75.599999999999994</v>
      </c>
      <c r="K161" s="2" t="s">
        <v>306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 t="s">
        <v>466</v>
      </c>
      <c r="B162" s="6">
        <v>46125</v>
      </c>
      <c r="C162" s="2" t="s">
        <v>125</v>
      </c>
      <c r="D162" s="2" t="s">
        <v>265</v>
      </c>
      <c r="E162" s="2" t="s">
        <v>290</v>
      </c>
      <c r="F162" s="2">
        <v>7</v>
      </c>
      <c r="G162" s="4">
        <v>650</v>
      </c>
      <c r="H162" s="5">
        <v>0.1</v>
      </c>
      <c r="I162" s="4">
        <v>4095</v>
      </c>
      <c r="J162" s="4">
        <v>1310.4000000000001</v>
      </c>
      <c r="K162" s="2" t="s">
        <v>313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 t="s">
        <v>467</v>
      </c>
      <c r="B163" s="6">
        <v>46066</v>
      </c>
      <c r="C163" s="2" t="s">
        <v>125</v>
      </c>
      <c r="D163" s="2" t="s">
        <v>263</v>
      </c>
      <c r="E163" s="2" t="s">
        <v>294</v>
      </c>
      <c r="F163" s="2">
        <v>4</v>
      </c>
      <c r="G163" s="4">
        <v>800</v>
      </c>
      <c r="H163" s="5">
        <v>0</v>
      </c>
      <c r="I163" s="4">
        <v>3200</v>
      </c>
      <c r="J163" s="4">
        <v>864</v>
      </c>
      <c r="K163" s="2" t="s">
        <v>306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 t="s">
        <v>468</v>
      </c>
      <c r="B164" s="6">
        <v>46060</v>
      </c>
      <c r="C164" s="2" t="s">
        <v>193</v>
      </c>
      <c r="D164" s="2" t="s">
        <v>242</v>
      </c>
      <c r="E164" s="2" t="s">
        <v>290</v>
      </c>
      <c r="F164" s="2">
        <v>6</v>
      </c>
      <c r="G164" s="4">
        <v>70</v>
      </c>
      <c r="H164" s="5">
        <v>0</v>
      </c>
      <c r="I164" s="4">
        <v>420</v>
      </c>
      <c r="J164" s="4">
        <v>168</v>
      </c>
      <c r="K164" s="2" t="s">
        <v>306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 t="s">
        <v>469</v>
      </c>
      <c r="B165" s="6">
        <v>46042</v>
      </c>
      <c r="C165" s="2" t="s">
        <v>128</v>
      </c>
      <c r="D165" s="2" t="s">
        <v>245</v>
      </c>
      <c r="E165" s="2" t="s">
        <v>284</v>
      </c>
      <c r="F165" s="2">
        <v>3</v>
      </c>
      <c r="G165" s="4">
        <v>35</v>
      </c>
      <c r="H165" s="5">
        <v>0.15</v>
      </c>
      <c r="I165" s="4">
        <v>89.25</v>
      </c>
      <c r="J165" s="4">
        <v>37.479999999999997</v>
      </c>
      <c r="K165" s="2" t="s">
        <v>306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">
      <c r="A166" s="2" t="s">
        <v>470</v>
      </c>
      <c r="B166" s="6">
        <v>46103</v>
      </c>
      <c r="C166" s="2" t="s">
        <v>229</v>
      </c>
      <c r="D166" s="2" t="s">
        <v>269</v>
      </c>
      <c r="E166" s="2" t="s">
        <v>294</v>
      </c>
      <c r="F166" s="2">
        <v>6</v>
      </c>
      <c r="G166" s="4">
        <v>1100</v>
      </c>
      <c r="H166" s="5">
        <v>0.15</v>
      </c>
      <c r="I166" s="4">
        <v>5610</v>
      </c>
      <c r="J166" s="4">
        <v>3814.8</v>
      </c>
      <c r="K166" s="2" t="s">
        <v>306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 t="s">
        <v>471</v>
      </c>
      <c r="B167" s="6">
        <v>46037</v>
      </c>
      <c r="C167" s="2" t="s">
        <v>184</v>
      </c>
      <c r="D167" s="2" t="s">
        <v>240</v>
      </c>
      <c r="E167" s="2" t="s">
        <v>294</v>
      </c>
      <c r="F167" s="2">
        <v>5</v>
      </c>
      <c r="G167" s="4">
        <v>300</v>
      </c>
      <c r="H167" s="5">
        <v>0.1</v>
      </c>
      <c r="I167" s="4">
        <v>1350</v>
      </c>
      <c r="J167" s="4">
        <v>405</v>
      </c>
      <c r="K167" s="2" t="s">
        <v>306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 t="s">
        <v>472</v>
      </c>
      <c r="B168" s="6">
        <v>46117</v>
      </c>
      <c r="C168" s="2" t="s">
        <v>193</v>
      </c>
      <c r="D168" s="2" t="s">
        <v>240</v>
      </c>
      <c r="E168" s="2" t="s">
        <v>298</v>
      </c>
      <c r="F168" s="2">
        <v>1</v>
      </c>
      <c r="G168" s="4">
        <v>300</v>
      </c>
      <c r="H168" s="5">
        <v>0</v>
      </c>
      <c r="I168" s="4">
        <v>300</v>
      </c>
      <c r="J168" s="4">
        <v>90</v>
      </c>
      <c r="K168" s="2" t="s">
        <v>306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 t="s">
        <v>473</v>
      </c>
      <c r="B169" s="6">
        <v>46164</v>
      </c>
      <c r="C169" s="2" t="s">
        <v>122</v>
      </c>
      <c r="D169" s="2" t="s">
        <v>240</v>
      </c>
      <c r="E169" s="2" t="s">
        <v>292</v>
      </c>
      <c r="F169" s="2">
        <v>8</v>
      </c>
      <c r="G169" s="4">
        <v>300</v>
      </c>
      <c r="H169" s="5">
        <v>0.1</v>
      </c>
      <c r="I169" s="4">
        <v>2160</v>
      </c>
      <c r="J169" s="4">
        <v>648</v>
      </c>
      <c r="K169" s="2" t="s">
        <v>306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 t="s">
        <v>474</v>
      </c>
      <c r="B170" s="6">
        <v>46061</v>
      </c>
      <c r="C170" s="2" t="s">
        <v>184</v>
      </c>
      <c r="D170" s="2" t="s">
        <v>275</v>
      </c>
      <c r="E170" s="2" t="s">
        <v>294</v>
      </c>
      <c r="F170" s="2">
        <v>8</v>
      </c>
      <c r="G170" s="4">
        <v>450</v>
      </c>
      <c r="H170" s="5">
        <v>0.1</v>
      </c>
      <c r="I170" s="4">
        <v>3240</v>
      </c>
      <c r="J170" s="4">
        <v>712.8</v>
      </c>
      <c r="K170" s="2" t="s">
        <v>306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 t="s">
        <v>475</v>
      </c>
      <c r="B171" s="6">
        <v>46067</v>
      </c>
      <c r="C171" s="2" t="s">
        <v>184</v>
      </c>
      <c r="D171" s="2" t="s">
        <v>242</v>
      </c>
      <c r="E171" s="2" t="s">
        <v>294</v>
      </c>
      <c r="F171" s="2">
        <v>2</v>
      </c>
      <c r="G171" s="4">
        <v>70</v>
      </c>
      <c r="H171" s="5">
        <v>0.1</v>
      </c>
      <c r="I171" s="4">
        <v>126</v>
      </c>
      <c r="J171" s="4">
        <v>50.4</v>
      </c>
      <c r="K171" s="2" t="s">
        <v>306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 t="s">
        <v>476</v>
      </c>
      <c r="B172" s="6">
        <v>46095</v>
      </c>
      <c r="C172" s="2" t="s">
        <v>156</v>
      </c>
      <c r="D172" s="2" t="s">
        <v>267</v>
      </c>
      <c r="E172" s="2" t="s">
        <v>287</v>
      </c>
      <c r="F172" s="2">
        <v>6</v>
      </c>
      <c r="G172" s="4">
        <v>120</v>
      </c>
      <c r="H172" s="5">
        <v>0</v>
      </c>
      <c r="I172" s="4">
        <v>720</v>
      </c>
      <c r="J172" s="4">
        <v>273.60000000000002</v>
      </c>
      <c r="K172" s="2" t="s">
        <v>309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 t="s">
        <v>477</v>
      </c>
      <c r="B173" s="6">
        <v>46107</v>
      </c>
      <c r="C173" s="2" t="s">
        <v>180</v>
      </c>
      <c r="D173" s="2" t="s">
        <v>259</v>
      </c>
      <c r="E173" s="2" t="s">
        <v>284</v>
      </c>
      <c r="F173" s="2">
        <v>6</v>
      </c>
      <c r="G173" s="4">
        <v>450</v>
      </c>
      <c r="H173" s="5">
        <v>0</v>
      </c>
      <c r="I173" s="4">
        <v>2700</v>
      </c>
      <c r="J173" s="4">
        <v>1674</v>
      </c>
      <c r="K173" s="2" t="s">
        <v>306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 t="s">
        <v>478</v>
      </c>
      <c r="B174" s="6">
        <v>46172</v>
      </c>
      <c r="C174" s="2" t="s">
        <v>199</v>
      </c>
      <c r="D174" s="2" t="s">
        <v>263</v>
      </c>
      <c r="E174" s="2" t="s">
        <v>75</v>
      </c>
      <c r="F174" s="2">
        <v>6</v>
      </c>
      <c r="G174" s="4">
        <v>800</v>
      </c>
      <c r="H174" s="5">
        <v>0</v>
      </c>
      <c r="I174" s="4">
        <v>4800</v>
      </c>
      <c r="J174" s="4">
        <v>1296</v>
      </c>
      <c r="K174" s="2" t="s">
        <v>306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 t="s">
        <v>479</v>
      </c>
      <c r="B175" s="6">
        <v>46044</v>
      </c>
      <c r="C175" s="2" t="s">
        <v>171</v>
      </c>
      <c r="D175" s="2" t="s">
        <v>257</v>
      </c>
      <c r="E175" s="2" t="s">
        <v>296</v>
      </c>
      <c r="F175" s="2">
        <v>3</v>
      </c>
      <c r="G175" s="4">
        <v>1200</v>
      </c>
      <c r="H175" s="5">
        <v>0.1</v>
      </c>
      <c r="I175" s="4">
        <v>3240</v>
      </c>
      <c r="J175" s="4">
        <v>1944</v>
      </c>
      <c r="K175" s="2" t="s">
        <v>306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 t="s">
        <v>480</v>
      </c>
      <c r="B176" s="6">
        <v>46157</v>
      </c>
      <c r="C176" s="2" t="s">
        <v>199</v>
      </c>
      <c r="D176" s="2" t="s">
        <v>263</v>
      </c>
      <c r="E176" s="2" t="s">
        <v>292</v>
      </c>
      <c r="F176" s="2">
        <v>3</v>
      </c>
      <c r="G176" s="4">
        <v>800</v>
      </c>
      <c r="H176" s="5">
        <v>0.15</v>
      </c>
      <c r="I176" s="4">
        <v>2040</v>
      </c>
      <c r="J176" s="4">
        <v>550.79999999999995</v>
      </c>
      <c r="K176" s="2" t="s">
        <v>306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 t="s">
        <v>481</v>
      </c>
      <c r="B177" s="6">
        <v>46069</v>
      </c>
      <c r="C177" s="2" t="s">
        <v>212</v>
      </c>
      <c r="D177" s="2" t="s">
        <v>265</v>
      </c>
      <c r="E177" s="2" t="s">
        <v>290</v>
      </c>
      <c r="F177" s="2">
        <v>6</v>
      </c>
      <c r="G177" s="4">
        <v>650</v>
      </c>
      <c r="H177" s="5">
        <v>0</v>
      </c>
      <c r="I177" s="4">
        <v>3900</v>
      </c>
      <c r="J177" s="4">
        <v>1248</v>
      </c>
      <c r="K177" s="2" t="s">
        <v>306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 t="s">
        <v>482</v>
      </c>
      <c r="B178" s="6">
        <v>46098</v>
      </c>
      <c r="C178" s="2" t="s">
        <v>169</v>
      </c>
      <c r="D178" s="2" t="s">
        <v>269</v>
      </c>
      <c r="E178" s="2" t="s">
        <v>290</v>
      </c>
      <c r="F178" s="2">
        <v>3</v>
      </c>
      <c r="G178" s="4">
        <v>1100</v>
      </c>
      <c r="H178" s="5">
        <v>0</v>
      </c>
      <c r="I178" s="4">
        <v>3300</v>
      </c>
      <c r="J178" s="4">
        <v>2244</v>
      </c>
      <c r="K178" s="2" t="s">
        <v>306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 t="s">
        <v>483</v>
      </c>
      <c r="B179" s="6">
        <v>46056</v>
      </c>
      <c r="C179" s="2" t="s">
        <v>193</v>
      </c>
      <c r="D179" s="2" t="s">
        <v>273</v>
      </c>
      <c r="E179" s="2" t="s">
        <v>75</v>
      </c>
      <c r="F179" s="2">
        <v>6</v>
      </c>
      <c r="G179" s="4">
        <v>350</v>
      </c>
      <c r="H179" s="5">
        <v>0.1</v>
      </c>
      <c r="I179" s="4">
        <v>1890</v>
      </c>
      <c r="J179" s="4">
        <v>1096.2</v>
      </c>
      <c r="K179" s="2" t="s">
        <v>313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 t="s">
        <v>484</v>
      </c>
      <c r="B180" s="6">
        <v>46128</v>
      </c>
      <c r="C180" s="2" t="s">
        <v>175</v>
      </c>
      <c r="D180" s="2" t="s">
        <v>245</v>
      </c>
      <c r="E180" s="2" t="s">
        <v>287</v>
      </c>
      <c r="F180" s="2">
        <v>8</v>
      </c>
      <c r="G180" s="4">
        <v>35</v>
      </c>
      <c r="H180" s="5">
        <v>0</v>
      </c>
      <c r="I180" s="4">
        <v>280</v>
      </c>
      <c r="J180" s="4">
        <v>117.6</v>
      </c>
      <c r="K180" s="2" t="s">
        <v>306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">
      <c r="A181" s="2" t="s">
        <v>485</v>
      </c>
      <c r="B181" s="6">
        <v>46159</v>
      </c>
      <c r="C181" s="2" t="s">
        <v>217</v>
      </c>
      <c r="D181" s="2" t="s">
        <v>252</v>
      </c>
      <c r="E181" s="2" t="s">
        <v>292</v>
      </c>
      <c r="F181" s="2">
        <v>8</v>
      </c>
      <c r="G181" s="4">
        <v>900</v>
      </c>
      <c r="H181" s="5">
        <v>0</v>
      </c>
      <c r="I181" s="4">
        <v>7200</v>
      </c>
      <c r="J181" s="4">
        <v>5040</v>
      </c>
      <c r="K181" s="2" t="s">
        <v>306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">
      <c r="A182" s="2" t="s">
        <v>486</v>
      </c>
      <c r="B182" s="6">
        <v>46169</v>
      </c>
      <c r="C182" s="2" t="s">
        <v>164</v>
      </c>
      <c r="D182" s="2" t="s">
        <v>269</v>
      </c>
      <c r="E182" s="2" t="s">
        <v>290</v>
      </c>
      <c r="F182" s="2">
        <v>6</v>
      </c>
      <c r="G182" s="4">
        <v>1100</v>
      </c>
      <c r="H182" s="5">
        <v>0.15</v>
      </c>
      <c r="I182" s="4">
        <v>5610</v>
      </c>
      <c r="J182" s="4">
        <v>3814.8</v>
      </c>
      <c r="K182" s="2" t="s">
        <v>309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 t="s">
        <v>487</v>
      </c>
      <c r="B183" s="6">
        <v>46058</v>
      </c>
      <c r="C183" s="2" t="s">
        <v>186</v>
      </c>
      <c r="D183" s="2" t="s">
        <v>257</v>
      </c>
      <c r="E183" s="2" t="s">
        <v>296</v>
      </c>
      <c r="F183" s="2">
        <v>3</v>
      </c>
      <c r="G183" s="4">
        <v>1200</v>
      </c>
      <c r="H183" s="5">
        <v>0</v>
      </c>
      <c r="I183" s="4">
        <v>3600</v>
      </c>
      <c r="J183" s="4">
        <v>2160</v>
      </c>
      <c r="K183" s="2" t="s">
        <v>306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T1"/>
  </mergeCells>
  <conditionalFormatting sqref="I4:I183">
    <cfRule type="cellIs" dxfId="1" priority="1" operator="greaterThan">
      <formula>5000</formula>
    </cfRule>
  </conditionalFormatting>
  <dataValidations count="1">
    <dataValidation type="list" sqref="K4:K183" xr:uid="{00000000-0002-0000-0500-000000000000}">
      <formula1>"Open,Closed Won,Closed Lost"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488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301</v>
      </c>
      <c r="B3" s="3" t="s">
        <v>302</v>
      </c>
      <c r="C3" s="3" t="s">
        <v>63</v>
      </c>
      <c r="D3" s="3" t="s">
        <v>68</v>
      </c>
      <c r="E3" s="3" t="s">
        <v>73</v>
      </c>
      <c r="F3" s="3" t="s">
        <v>303</v>
      </c>
      <c r="G3" s="3" t="s">
        <v>234</v>
      </c>
      <c r="H3" s="3" t="s">
        <v>304</v>
      </c>
      <c r="I3" s="3" t="s">
        <v>77</v>
      </c>
      <c r="J3" s="3" t="s">
        <v>82</v>
      </c>
      <c r="K3" s="3" t="s">
        <v>10</v>
      </c>
      <c r="L3" s="3" t="s">
        <v>100</v>
      </c>
      <c r="M3" s="3" t="s">
        <v>101</v>
      </c>
      <c r="N3" s="3" t="s">
        <v>102</v>
      </c>
      <c r="O3" s="3" t="s">
        <v>88</v>
      </c>
      <c r="P3" s="3" t="s">
        <v>103</v>
      </c>
      <c r="Q3" s="3" t="s">
        <v>232</v>
      </c>
      <c r="R3" s="3" t="s">
        <v>233</v>
      </c>
      <c r="S3" s="3" t="s">
        <v>280</v>
      </c>
      <c r="T3" s="3" t="s">
        <v>94</v>
      </c>
      <c r="U3" s="2"/>
      <c r="V3" s="2"/>
      <c r="W3" s="2"/>
      <c r="X3" s="2"/>
      <c r="Y3" s="2"/>
      <c r="Z3" s="2"/>
    </row>
    <row r="4" spans="1:26">
      <c r="A4" s="2" t="s">
        <v>305</v>
      </c>
      <c r="B4" s="6">
        <v>46055</v>
      </c>
      <c r="C4" s="2" t="s">
        <v>202</v>
      </c>
      <c r="D4" s="2" t="s">
        <v>240</v>
      </c>
      <c r="E4" s="2" t="s">
        <v>294</v>
      </c>
      <c r="F4" s="2">
        <v>2</v>
      </c>
      <c r="G4" s="4">
        <v>300</v>
      </c>
      <c r="H4" s="5">
        <v>0.1</v>
      </c>
      <c r="I4" s="4">
        <v>540</v>
      </c>
      <c r="J4" s="4">
        <v>162</v>
      </c>
      <c r="K4" s="2" t="s">
        <v>306</v>
      </c>
      <c r="L4" s="2" t="e">
        <f ca="1">_xludf.XLOOKUP(C4,Customers!$A$4:$A$53,Customers!$B$4:$B$53,"Not found")</f>
        <v>#NAME?</v>
      </c>
      <c r="M4" s="2" t="e">
        <f ca="1">_xludf.XLOOKUP(C4,Customers!$A$4:$A$53,Customers!$C$4:$C$53,"Not found")</f>
        <v>#NAME?</v>
      </c>
      <c r="N4" s="2" t="e">
        <f ca="1">_xludf.XLOOKUP(C4,Customers!$A$4:$A$53,Customers!$D$4:$D$53,"Not found")</f>
        <v>#NAME?</v>
      </c>
      <c r="O4" s="2" t="e">
        <f ca="1">_xludf.XLOOKUP(C4,Customers!$A$4:$A$53,Customers!$E$4:$E$53,"Not found")</f>
        <v>#NAME?</v>
      </c>
      <c r="P4" s="2" t="e">
        <f ca="1">_xludf.XLOOKUP(C4,Customers!$A$4:$A$53,Customers!$F$4:$F$53,"Not found")</f>
        <v>#NAME?</v>
      </c>
      <c r="Q4" s="2" t="e">
        <f ca="1">_xludf.XLOOKUP(D4,Products!$A$4:$A$23,Products!$B$4:$B$23,"Not found")</f>
        <v>#NAME?</v>
      </c>
      <c r="R4" s="2" t="e">
        <f ca="1">_xludf.XLOOKUP(D4,Products!$A$4:$A$23,Products!$C$4:$C$23,"Not found")</f>
        <v>#NAME?</v>
      </c>
      <c r="S4" s="2" t="e">
        <f ca="1">_xludf.XLOOKUP(E4,Sales_Reps!$A$4:$A$11,Sales_Reps!$B$4:$B$11,"Not found")</f>
        <v>#NAME?</v>
      </c>
      <c r="T4" s="2" t="e">
        <f ca="1">_xludf.XLOOKUP(E4,Sales_Reps!$A$4:$A$11,Sales_Reps!$C$4:$C$11,"Not found")</f>
        <v>#NAME?</v>
      </c>
      <c r="U4" s="2"/>
      <c r="V4" s="2"/>
      <c r="W4" s="2"/>
      <c r="X4" s="2"/>
      <c r="Y4" s="2"/>
      <c r="Z4" s="2"/>
    </row>
    <row r="5" spans="1:26">
      <c r="A5" s="2" t="s">
        <v>307</v>
      </c>
      <c r="B5" s="6">
        <v>46131</v>
      </c>
      <c r="C5" s="2" t="s">
        <v>215</v>
      </c>
      <c r="D5" s="2" t="s">
        <v>269</v>
      </c>
      <c r="E5" s="2" t="s">
        <v>287</v>
      </c>
      <c r="F5" s="2">
        <v>5</v>
      </c>
      <c r="G5" s="4">
        <v>1100</v>
      </c>
      <c r="H5" s="5">
        <v>0.1</v>
      </c>
      <c r="I5" s="4">
        <v>4950</v>
      </c>
      <c r="J5" s="4">
        <v>3366</v>
      </c>
      <c r="K5" s="2" t="s">
        <v>306</v>
      </c>
      <c r="L5" s="2" t="e">
        <f ca="1">_xludf.XLOOKUP(C5,Customers!$A$4:$A$53,Customers!$B$4:$B$53,"Not found")</f>
        <v>#NAME?</v>
      </c>
      <c r="M5" s="2" t="e">
        <f ca="1">_xludf.XLOOKUP(C5,Customers!$A$4:$A$53,Customers!$C$4:$C$53,"Not found")</f>
        <v>#NAME?</v>
      </c>
      <c r="N5" s="2" t="e">
        <f ca="1">_xludf.XLOOKUP(C5,Customers!$A$4:$A$53,Customers!$D$4:$D$53,"Not found")</f>
        <v>#NAME?</v>
      </c>
      <c r="O5" s="2" t="e">
        <f ca="1">_xludf.XLOOKUP(C5,Customers!$A$4:$A$53,Customers!$E$4:$E$53,"Not found")</f>
        <v>#NAME?</v>
      </c>
      <c r="P5" s="2" t="e">
        <f ca="1">_xludf.XLOOKUP(C5,Customers!$A$4:$A$53,Customers!$F$4:$F$53,"Not found")</f>
        <v>#NAME?</v>
      </c>
      <c r="Q5" s="2" t="e">
        <f ca="1">_xludf.XLOOKUP(D5,Products!$A$4:$A$23,Products!$B$4:$B$23,"Not found")</f>
        <v>#NAME?</v>
      </c>
      <c r="R5" s="2" t="e">
        <f ca="1">_xludf.XLOOKUP(D5,Products!$A$4:$A$23,Products!$C$4:$C$23,"Not found")</f>
        <v>#NAME?</v>
      </c>
      <c r="S5" s="2" t="e">
        <f ca="1">_xludf.XLOOKUP(E5,Sales_Reps!$A$4:$A$11,Sales_Reps!$B$4:$B$11,"Not found")</f>
        <v>#NAME?</v>
      </c>
      <c r="T5" s="2" t="e">
        <f ca="1">_xludf.XLOOKUP(E5,Sales_Reps!$A$4:$A$11,Sales_Reps!$C$4:$C$11,"Not found")</f>
        <v>#NAME?</v>
      </c>
      <c r="U5" s="2"/>
      <c r="V5" s="2"/>
      <c r="W5" s="2"/>
      <c r="X5" s="2"/>
      <c r="Y5" s="2"/>
      <c r="Z5" s="2"/>
    </row>
    <row r="6" spans="1:26">
      <c r="A6" s="2" t="s">
        <v>308</v>
      </c>
      <c r="B6" s="6">
        <v>46155</v>
      </c>
      <c r="C6" s="2" t="s">
        <v>197</v>
      </c>
      <c r="D6" s="2" t="s">
        <v>249</v>
      </c>
      <c r="E6" s="2" t="s">
        <v>294</v>
      </c>
      <c r="F6" s="2">
        <v>6</v>
      </c>
      <c r="G6" s="4">
        <v>600</v>
      </c>
      <c r="H6" s="5">
        <v>0.05</v>
      </c>
      <c r="I6" s="4">
        <v>3420</v>
      </c>
      <c r="J6" s="4">
        <v>2223</v>
      </c>
      <c r="K6" s="2" t="s">
        <v>309</v>
      </c>
      <c r="L6" s="2" t="e">
        <f ca="1">_xludf.XLOOKUP(C6,Customers!$A$4:$A$53,Customers!$B$4:$B$53,"Not found")</f>
        <v>#NAME?</v>
      </c>
      <c r="M6" s="2" t="e">
        <f ca="1">_xludf.XLOOKUP(C6,Customers!$A$4:$A$53,Customers!$C$4:$C$53,"Not found")</f>
        <v>#NAME?</v>
      </c>
      <c r="N6" s="2" t="e">
        <f ca="1">_xludf.XLOOKUP(C6,Customers!$A$4:$A$53,Customers!$D$4:$D$53,"Not found")</f>
        <v>#NAME?</v>
      </c>
      <c r="O6" s="2" t="e">
        <f ca="1">_xludf.XLOOKUP(C6,Customers!$A$4:$A$53,Customers!$E$4:$E$53,"Not found")</f>
        <v>#NAME?</v>
      </c>
      <c r="P6" s="2" t="e">
        <f ca="1">_xludf.XLOOKUP(C6,Customers!$A$4:$A$53,Customers!$F$4:$F$53,"Not found")</f>
        <v>#NAME?</v>
      </c>
      <c r="Q6" s="2" t="e">
        <f ca="1">_xludf.XLOOKUP(D6,Products!$A$4:$A$23,Products!$B$4:$B$23,"Not found")</f>
        <v>#NAME?</v>
      </c>
      <c r="R6" s="2" t="e">
        <f ca="1">_xludf.XLOOKUP(D6,Products!$A$4:$A$23,Products!$C$4:$C$23,"Not found")</f>
        <v>#NAME?</v>
      </c>
      <c r="S6" s="2" t="e">
        <f ca="1">_xludf.XLOOKUP(E6,Sales_Reps!$A$4:$A$11,Sales_Reps!$B$4:$B$11,"Not found")</f>
        <v>#NAME?</v>
      </c>
      <c r="T6" s="2" t="e">
        <f ca="1">_xludf.XLOOKUP(E6,Sales_Reps!$A$4:$A$11,Sales_Reps!$C$4:$C$11,"Not found")</f>
        <v>#NAME?</v>
      </c>
      <c r="U6" s="2"/>
      <c r="V6" s="2"/>
      <c r="W6" s="2"/>
      <c r="X6" s="2"/>
      <c r="Y6" s="2"/>
      <c r="Z6" s="2"/>
    </row>
    <row r="7" spans="1:26">
      <c r="A7" s="2" t="s">
        <v>310</v>
      </c>
      <c r="B7" s="6">
        <v>46164</v>
      </c>
      <c r="C7" s="2" t="s">
        <v>131</v>
      </c>
      <c r="D7" s="2" t="s">
        <v>252</v>
      </c>
      <c r="E7" s="2" t="s">
        <v>296</v>
      </c>
      <c r="F7" s="2">
        <v>1</v>
      </c>
      <c r="G7" s="4">
        <v>900</v>
      </c>
      <c r="H7" s="5">
        <v>0.1</v>
      </c>
      <c r="I7" s="4">
        <v>810</v>
      </c>
      <c r="J7" s="4">
        <v>567</v>
      </c>
      <c r="K7" s="2" t="s">
        <v>306</v>
      </c>
      <c r="L7" s="2" t="e">
        <f ca="1">_xludf.XLOOKUP(C7,Customers!$A$4:$A$53,Customers!$B$4:$B$53,"Not found")</f>
        <v>#NAME?</v>
      </c>
      <c r="M7" s="2" t="e">
        <f ca="1">_xludf.XLOOKUP(C7,Customers!$A$4:$A$53,Customers!$C$4:$C$53,"Not found")</f>
        <v>#NAME?</v>
      </c>
      <c r="N7" s="2" t="e">
        <f ca="1">_xludf.XLOOKUP(C7,Customers!$A$4:$A$53,Customers!$D$4:$D$53,"Not found")</f>
        <v>#NAME?</v>
      </c>
      <c r="O7" s="2" t="e">
        <f ca="1">_xludf.XLOOKUP(C7,Customers!$A$4:$A$53,Customers!$E$4:$E$53,"Not found")</f>
        <v>#NAME?</v>
      </c>
      <c r="P7" s="2" t="e">
        <f ca="1">_xludf.XLOOKUP(C7,Customers!$A$4:$A$53,Customers!$F$4:$F$53,"Not found")</f>
        <v>#NAME?</v>
      </c>
      <c r="Q7" s="2" t="e">
        <f ca="1">_xludf.XLOOKUP(D7,Products!$A$4:$A$23,Products!$B$4:$B$23,"Not found")</f>
        <v>#NAME?</v>
      </c>
      <c r="R7" s="2" t="e">
        <f ca="1">_xludf.XLOOKUP(D7,Products!$A$4:$A$23,Products!$C$4:$C$23,"Not found")</f>
        <v>#NAME?</v>
      </c>
      <c r="S7" s="2" t="e">
        <f ca="1">_xludf.XLOOKUP(E7,Sales_Reps!$A$4:$A$11,Sales_Reps!$B$4:$B$11,"Not found")</f>
        <v>#NAME?</v>
      </c>
      <c r="T7" s="2" t="e">
        <f ca="1">_xludf.XLOOKUP(E7,Sales_Reps!$A$4:$A$11,Sales_Reps!$C$4:$C$11,"Not found")</f>
        <v>#NAME?</v>
      </c>
      <c r="U7" s="2"/>
      <c r="V7" s="2"/>
      <c r="W7" s="2"/>
      <c r="X7" s="2"/>
      <c r="Y7" s="2"/>
      <c r="Z7" s="2"/>
    </row>
    <row r="8" spans="1:26">
      <c r="A8" s="2" t="s">
        <v>311</v>
      </c>
      <c r="B8" s="6">
        <v>46031</v>
      </c>
      <c r="C8" s="2" t="s">
        <v>204</v>
      </c>
      <c r="D8" s="2" t="s">
        <v>252</v>
      </c>
      <c r="E8" s="2" t="s">
        <v>75</v>
      </c>
      <c r="F8" s="2">
        <v>4</v>
      </c>
      <c r="G8" s="4">
        <v>900</v>
      </c>
      <c r="H8" s="5">
        <v>0</v>
      </c>
      <c r="I8" s="4">
        <v>3600</v>
      </c>
      <c r="J8" s="4">
        <v>2520</v>
      </c>
      <c r="K8" s="2" t="s">
        <v>306</v>
      </c>
      <c r="L8" s="2" t="e">
        <f ca="1">_xludf.XLOOKUP(C8,Customers!$A$4:$A$53,Customers!$B$4:$B$53,"Not found")</f>
        <v>#NAME?</v>
      </c>
      <c r="M8" s="2" t="e">
        <f ca="1">_xludf.XLOOKUP(C8,Customers!$A$4:$A$53,Customers!$C$4:$C$53,"Not found")</f>
        <v>#NAME?</v>
      </c>
      <c r="N8" s="2" t="e">
        <f ca="1">_xludf.XLOOKUP(C8,Customers!$A$4:$A$53,Customers!$D$4:$D$53,"Not found")</f>
        <v>#NAME?</v>
      </c>
      <c r="O8" s="2" t="e">
        <f ca="1">_xludf.XLOOKUP(C8,Customers!$A$4:$A$53,Customers!$E$4:$E$53,"Not found")</f>
        <v>#NAME?</v>
      </c>
      <c r="P8" s="2" t="e">
        <f ca="1">_xludf.XLOOKUP(C8,Customers!$A$4:$A$53,Customers!$F$4:$F$53,"Not found")</f>
        <v>#NAME?</v>
      </c>
      <c r="Q8" s="2" t="e">
        <f ca="1">_xludf.XLOOKUP(D8,Products!$A$4:$A$23,Products!$B$4:$B$23,"Not found")</f>
        <v>#NAME?</v>
      </c>
      <c r="R8" s="2" t="e">
        <f ca="1">_xludf.XLOOKUP(D8,Products!$A$4:$A$23,Products!$C$4:$C$23,"Not found")</f>
        <v>#NAME?</v>
      </c>
      <c r="S8" s="2" t="e">
        <f ca="1">_xludf.XLOOKUP(E8,Sales_Reps!$A$4:$A$11,Sales_Reps!$B$4:$B$11,"Not found")</f>
        <v>#NAME?</v>
      </c>
      <c r="T8" s="2" t="e">
        <f ca="1">_xludf.XLOOKUP(E8,Sales_Reps!$A$4:$A$11,Sales_Reps!$C$4:$C$11,"Not found")</f>
        <v>#NAME?</v>
      </c>
      <c r="U8" s="2"/>
      <c r="V8" s="2"/>
      <c r="W8" s="2"/>
      <c r="X8" s="2"/>
      <c r="Y8" s="2"/>
      <c r="Z8" s="2"/>
    </row>
    <row r="9" spans="1:26" ht="15">
      <c r="A9" s="2" t="s">
        <v>312</v>
      </c>
      <c r="B9" s="6">
        <v>46056</v>
      </c>
      <c r="C9" s="2" t="s">
        <v>122</v>
      </c>
      <c r="D9" s="2" t="s">
        <v>271</v>
      </c>
      <c r="E9" s="2" t="s">
        <v>292</v>
      </c>
      <c r="F9" s="2">
        <v>4</v>
      </c>
      <c r="G9" s="4">
        <v>2800</v>
      </c>
      <c r="H9" s="5">
        <v>0.1</v>
      </c>
      <c r="I9" s="4">
        <v>10080</v>
      </c>
      <c r="J9" s="4">
        <v>5241.6000000000004</v>
      </c>
      <c r="K9" s="2" t="s">
        <v>313</v>
      </c>
      <c r="L9" s="2" t="e">
        <f ca="1">_xludf.XLOOKUP(C9,Customers!$A$4:$A$53,Customers!$B$4:$B$53,"Not found")</f>
        <v>#NAME?</v>
      </c>
      <c r="M9" s="2" t="e">
        <f ca="1">_xludf.XLOOKUP(C9,Customers!$A$4:$A$53,Customers!$C$4:$C$53,"Not found")</f>
        <v>#NAME?</v>
      </c>
      <c r="N9" s="2" t="e">
        <f ca="1">_xludf.XLOOKUP(C9,Customers!$A$4:$A$53,Customers!$D$4:$D$53,"Not found")</f>
        <v>#NAME?</v>
      </c>
      <c r="O9" s="2" t="e">
        <f ca="1">_xludf.XLOOKUP(C9,Customers!$A$4:$A$53,Customers!$E$4:$E$53,"Not found")</f>
        <v>#NAME?</v>
      </c>
      <c r="P9" s="2" t="e">
        <f ca="1">_xludf.XLOOKUP(C9,Customers!$A$4:$A$53,Customers!$F$4:$F$53,"Not found")</f>
        <v>#NAME?</v>
      </c>
      <c r="Q9" s="2" t="e">
        <f ca="1">_xludf.XLOOKUP(D9,Products!$A$4:$A$23,Products!$B$4:$B$23,"Not found")</f>
        <v>#NAME?</v>
      </c>
      <c r="R9" s="2" t="e">
        <f ca="1">_xludf.XLOOKUP(D9,Products!$A$4:$A$23,Products!$C$4:$C$23,"Not found")</f>
        <v>#NAME?</v>
      </c>
      <c r="S9" s="2" t="e">
        <f ca="1">_xludf.XLOOKUP(E9,Sales_Reps!$A$4:$A$11,Sales_Reps!$B$4:$B$11,"Not found")</f>
        <v>#NAME?</v>
      </c>
      <c r="T9" s="2" t="e">
        <f ca="1">_xludf.XLOOKUP(E9,Sales_Reps!$A$4:$A$11,Sales_Reps!$C$4:$C$11,"Not found")</f>
        <v>#NAME?</v>
      </c>
      <c r="U9" s="2"/>
      <c r="V9" s="2"/>
      <c r="W9" s="2"/>
      <c r="X9" s="2"/>
      <c r="Y9" s="2"/>
      <c r="Z9" s="2"/>
    </row>
    <row r="10" spans="1:26" ht="15">
      <c r="A10" s="2" t="s">
        <v>314</v>
      </c>
      <c r="B10" s="6">
        <v>46047</v>
      </c>
      <c r="C10" s="2" t="s">
        <v>202</v>
      </c>
      <c r="D10" s="2" t="s">
        <v>269</v>
      </c>
      <c r="E10" s="2" t="s">
        <v>294</v>
      </c>
      <c r="F10" s="2">
        <v>7</v>
      </c>
      <c r="G10" s="4">
        <v>1100</v>
      </c>
      <c r="H10" s="5">
        <v>0</v>
      </c>
      <c r="I10" s="4">
        <v>7700</v>
      </c>
      <c r="J10" s="4">
        <v>5236</v>
      </c>
      <c r="K10" s="2" t="s">
        <v>306</v>
      </c>
      <c r="L10" s="2" t="e">
        <f ca="1">_xludf.XLOOKUP(C10,Customers!$A$4:$A$53,Customers!$B$4:$B$53,"Not found")</f>
        <v>#NAME?</v>
      </c>
      <c r="M10" s="2" t="e">
        <f ca="1">_xludf.XLOOKUP(C10,Customers!$A$4:$A$53,Customers!$C$4:$C$53,"Not found")</f>
        <v>#NAME?</v>
      </c>
      <c r="N10" s="2" t="e">
        <f ca="1">_xludf.XLOOKUP(C10,Customers!$A$4:$A$53,Customers!$D$4:$D$53,"Not found")</f>
        <v>#NAME?</v>
      </c>
      <c r="O10" s="2" t="e">
        <f ca="1">_xludf.XLOOKUP(C10,Customers!$A$4:$A$53,Customers!$E$4:$E$53,"Not found")</f>
        <v>#NAME?</v>
      </c>
      <c r="P10" s="2" t="e">
        <f ca="1">_xludf.XLOOKUP(C10,Customers!$A$4:$A$53,Customers!$F$4:$F$53,"Not found")</f>
        <v>#NAME?</v>
      </c>
      <c r="Q10" s="2" t="e">
        <f ca="1">_xludf.XLOOKUP(D10,Products!$A$4:$A$23,Products!$B$4:$B$23,"Not found")</f>
        <v>#NAME?</v>
      </c>
      <c r="R10" s="2" t="e">
        <f ca="1">_xludf.XLOOKUP(D10,Products!$A$4:$A$23,Products!$C$4:$C$23,"Not found")</f>
        <v>#NAME?</v>
      </c>
      <c r="S10" s="2" t="e">
        <f ca="1">_xludf.XLOOKUP(E10,Sales_Reps!$A$4:$A$11,Sales_Reps!$B$4:$B$11,"Not found")</f>
        <v>#NAME?</v>
      </c>
      <c r="T10" s="2" t="e">
        <f ca="1">_xludf.XLOOKUP(E10,Sales_Reps!$A$4:$A$11,Sales_Reps!$C$4:$C$11,"Not found")</f>
        <v>#NAME?</v>
      </c>
      <c r="U10" s="2"/>
      <c r="V10" s="2"/>
      <c r="W10" s="2"/>
      <c r="X10" s="2"/>
      <c r="Y10" s="2"/>
      <c r="Z10" s="2"/>
    </row>
    <row r="11" spans="1:26">
      <c r="A11" s="2" t="s">
        <v>315</v>
      </c>
      <c r="B11" s="6">
        <v>46036</v>
      </c>
      <c r="C11" s="2" t="s">
        <v>215</v>
      </c>
      <c r="D11" s="2" t="s">
        <v>265</v>
      </c>
      <c r="E11" s="2" t="s">
        <v>296</v>
      </c>
      <c r="F11" s="2">
        <v>8</v>
      </c>
      <c r="G11" s="4">
        <v>650</v>
      </c>
      <c r="H11" s="5">
        <v>0.15</v>
      </c>
      <c r="I11" s="4">
        <v>4420</v>
      </c>
      <c r="J11" s="4">
        <v>1414.4</v>
      </c>
      <c r="K11" s="2" t="s">
        <v>306</v>
      </c>
      <c r="L11" s="2" t="e">
        <f ca="1">_xludf.XLOOKUP(C11,Customers!$A$4:$A$53,Customers!$B$4:$B$53,"Not found")</f>
        <v>#NAME?</v>
      </c>
      <c r="M11" s="2" t="e">
        <f ca="1">_xludf.XLOOKUP(C11,Customers!$A$4:$A$53,Customers!$C$4:$C$53,"Not found")</f>
        <v>#NAME?</v>
      </c>
      <c r="N11" s="2" t="e">
        <f ca="1">_xludf.XLOOKUP(C11,Customers!$A$4:$A$53,Customers!$D$4:$D$53,"Not found")</f>
        <v>#NAME?</v>
      </c>
      <c r="O11" s="2" t="e">
        <f ca="1">_xludf.XLOOKUP(C11,Customers!$A$4:$A$53,Customers!$E$4:$E$53,"Not found")</f>
        <v>#NAME?</v>
      </c>
      <c r="P11" s="2" t="e">
        <f ca="1">_xludf.XLOOKUP(C11,Customers!$A$4:$A$53,Customers!$F$4:$F$53,"Not found")</f>
        <v>#NAME?</v>
      </c>
      <c r="Q11" s="2" t="e">
        <f ca="1">_xludf.XLOOKUP(D11,Products!$A$4:$A$23,Products!$B$4:$B$23,"Not found")</f>
        <v>#NAME?</v>
      </c>
      <c r="R11" s="2" t="e">
        <f ca="1">_xludf.XLOOKUP(D11,Products!$A$4:$A$23,Products!$C$4:$C$23,"Not found")</f>
        <v>#NAME?</v>
      </c>
      <c r="S11" s="2" t="e">
        <f ca="1">_xludf.XLOOKUP(E11,Sales_Reps!$A$4:$A$11,Sales_Reps!$B$4:$B$11,"Not found")</f>
        <v>#NAME?</v>
      </c>
      <c r="T11" s="2" t="e">
        <f ca="1">_xludf.XLOOKUP(E11,Sales_Reps!$A$4:$A$11,Sales_Reps!$C$4:$C$11,"Not found")</f>
        <v>#NAME?</v>
      </c>
      <c r="U11" s="2"/>
      <c r="V11" s="2"/>
      <c r="W11" s="2"/>
      <c r="X11" s="2"/>
      <c r="Y11" s="2"/>
      <c r="Z11" s="2"/>
    </row>
    <row r="12" spans="1:26">
      <c r="A12" s="2" t="s">
        <v>316</v>
      </c>
      <c r="B12" s="6">
        <v>46071</v>
      </c>
      <c r="C12" s="2" t="s">
        <v>118</v>
      </c>
      <c r="D12" s="2" t="s">
        <v>263</v>
      </c>
      <c r="E12" s="2" t="s">
        <v>75</v>
      </c>
      <c r="F12" s="2">
        <v>4</v>
      </c>
      <c r="G12" s="4">
        <v>800</v>
      </c>
      <c r="H12" s="5">
        <v>0</v>
      </c>
      <c r="I12" s="4">
        <v>3200</v>
      </c>
      <c r="J12" s="4">
        <v>864</v>
      </c>
      <c r="K12" s="2" t="s">
        <v>313</v>
      </c>
      <c r="L12" s="2" t="e">
        <f ca="1">_xludf.XLOOKUP(C12,Customers!$A$4:$A$53,Customers!$B$4:$B$53,"Not found")</f>
        <v>#NAME?</v>
      </c>
      <c r="M12" s="2" t="e">
        <f ca="1">_xludf.XLOOKUP(C12,Customers!$A$4:$A$53,Customers!$C$4:$C$53,"Not found")</f>
        <v>#NAME?</v>
      </c>
      <c r="N12" s="2" t="e">
        <f ca="1">_xludf.XLOOKUP(C12,Customers!$A$4:$A$53,Customers!$D$4:$D$53,"Not found")</f>
        <v>#NAME?</v>
      </c>
      <c r="O12" s="2" t="e">
        <f ca="1">_xludf.XLOOKUP(C12,Customers!$A$4:$A$53,Customers!$E$4:$E$53,"Not found")</f>
        <v>#NAME?</v>
      </c>
      <c r="P12" s="2" t="e">
        <f ca="1">_xludf.XLOOKUP(C12,Customers!$A$4:$A$53,Customers!$F$4:$F$53,"Not found")</f>
        <v>#NAME?</v>
      </c>
      <c r="Q12" s="2" t="e">
        <f ca="1">_xludf.XLOOKUP(D12,Products!$A$4:$A$23,Products!$B$4:$B$23,"Not found")</f>
        <v>#NAME?</v>
      </c>
      <c r="R12" s="2" t="e">
        <f ca="1">_xludf.XLOOKUP(D12,Products!$A$4:$A$23,Products!$C$4:$C$23,"Not found")</f>
        <v>#NAME?</v>
      </c>
      <c r="S12" s="2" t="e">
        <f ca="1">_xludf.XLOOKUP(E12,Sales_Reps!$A$4:$A$11,Sales_Reps!$B$4:$B$11,"Not found")</f>
        <v>#NAME?</v>
      </c>
      <c r="T12" s="2" t="e">
        <f ca="1">_xludf.XLOOKUP(E12,Sales_Reps!$A$4:$A$11,Sales_Reps!$C$4:$C$11,"Not found")</f>
        <v>#NAME?</v>
      </c>
      <c r="U12" s="2"/>
      <c r="V12" s="2"/>
      <c r="W12" s="2"/>
      <c r="X12" s="2"/>
      <c r="Y12" s="2"/>
      <c r="Z12" s="2"/>
    </row>
    <row r="13" spans="1:26">
      <c r="A13" s="2" t="s">
        <v>317</v>
      </c>
      <c r="B13" s="6">
        <v>46042</v>
      </c>
      <c r="C13" s="2" t="s">
        <v>184</v>
      </c>
      <c r="D13" s="2" t="s">
        <v>245</v>
      </c>
      <c r="E13" s="2" t="s">
        <v>294</v>
      </c>
      <c r="F13" s="2">
        <v>8</v>
      </c>
      <c r="G13" s="4">
        <v>35</v>
      </c>
      <c r="H13" s="5">
        <v>0</v>
      </c>
      <c r="I13" s="4">
        <v>280</v>
      </c>
      <c r="J13" s="4">
        <v>117.6</v>
      </c>
      <c r="K13" s="2" t="s">
        <v>309</v>
      </c>
      <c r="L13" s="2" t="e">
        <f ca="1">_xludf.XLOOKUP(C13,Customers!$A$4:$A$53,Customers!$B$4:$B$53,"Not found")</f>
        <v>#NAME?</v>
      </c>
      <c r="M13" s="2" t="e">
        <f ca="1">_xludf.XLOOKUP(C13,Customers!$A$4:$A$53,Customers!$C$4:$C$53,"Not found")</f>
        <v>#NAME?</v>
      </c>
      <c r="N13" s="2" t="e">
        <f ca="1">_xludf.XLOOKUP(C13,Customers!$A$4:$A$53,Customers!$D$4:$D$53,"Not found")</f>
        <v>#NAME?</v>
      </c>
      <c r="O13" s="2" t="e">
        <f ca="1">_xludf.XLOOKUP(C13,Customers!$A$4:$A$53,Customers!$E$4:$E$53,"Not found")</f>
        <v>#NAME?</v>
      </c>
      <c r="P13" s="2" t="e">
        <f ca="1">_xludf.XLOOKUP(C13,Customers!$A$4:$A$53,Customers!$F$4:$F$53,"Not found")</f>
        <v>#NAME?</v>
      </c>
      <c r="Q13" s="2" t="e">
        <f ca="1">_xludf.XLOOKUP(D13,Products!$A$4:$A$23,Products!$B$4:$B$23,"Not found")</f>
        <v>#NAME?</v>
      </c>
      <c r="R13" s="2" t="e">
        <f ca="1">_xludf.XLOOKUP(D13,Products!$A$4:$A$23,Products!$C$4:$C$23,"Not found")</f>
        <v>#NAME?</v>
      </c>
      <c r="S13" s="2" t="e">
        <f ca="1">_xludf.XLOOKUP(E13,Sales_Reps!$A$4:$A$11,Sales_Reps!$B$4:$B$11,"Not found")</f>
        <v>#NAME?</v>
      </c>
      <c r="T13" s="2" t="e">
        <f ca="1">_xludf.XLOOKUP(E13,Sales_Reps!$A$4:$A$11,Sales_Reps!$C$4:$C$11,"Not found")</f>
        <v>#NAME?</v>
      </c>
      <c r="U13" s="2"/>
      <c r="V13" s="2"/>
      <c r="W13" s="2"/>
      <c r="X13" s="2"/>
      <c r="Y13" s="2"/>
      <c r="Z13" s="2"/>
    </row>
    <row r="14" spans="1:26">
      <c r="A14" s="2" t="s">
        <v>318</v>
      </c>
      <c r="B14" s="6">
        <v>46065</v>
      </c>
      <c r="C14" s="2" t="s">
        <v>199</v>
      </c>
      <c r="D14" s="2" t="s">
        <v>242</v>
      </c>
      <c r="E14" s="2" t="s">
        <v>75</v>
      </c>
      <c r="F14" s="2">
        <v>2</v>
      </c>
      <c r="G14" s="4">
        <v>70</v>
      </c>
      <c r="H14" s="5">
        <v>0</v>
      </c>
      <c r="I14" s="4">
        <v>140</v>
      </c>
      <c r="J14" s="4">
        <v>56</v>
      </c>
      <c r="K14" s="2" t="s">
        <v>309</v>
      </c>
      <c r="L14" s="2" t="e">
        <f ca="1">_xludf.XLOOKUP(C14,Customers!$A$4:$A$53,Customers!$B$4:$B$53,"Not found")</f>
        <v>#NAME?</v>
      </c>
      <c r="M14" s="2" t="e">
        <f ca="1">_xludf.XLOOKUP(C14,Customers!$A$4:$A$53,Customers!$C$4:$C$53,"Not found")</f>
        <v>#NAME?</v>
      </c>
      <c r="N14" s="2" t="e">
        <f ca="1">_xludf.XLOOKUP(C14,Customers!$A$4:$A$53,Customers!$D$4:$D$53,"Not found")</f>
        <v>#NAME?</v>
      </c>
      <c r="O14" s="2" t="e">
        <f ca="1">_xludf.XLOOKUP(C14,Customers!$A$4:$A$53,Customers!$E$4:$E$53,"Not found")</f>
        <v>#NAME?</v>
      </c>
      <c r="P14" s="2" t="e">
        <f ca="1">_xludf.XLOOKUP(C14,Customers!$A$4:$A$53,Customers!$F$4:$F$53,"Not found")</f>
        <v>#NAME?</v>
      </c>
      <c r="Q14" s="2" t="e">
        <f ca="1">_xludf.XLOOKUP(D14,Products!$A$4:$A$23,Products!$B$4:$B$23,"Not found")</f>
        <v>#NAME?</v>
      </c>
      <c r="R14" s="2" t="e">
        <f ca="1">_xludf.XLOOKUP(D14,Products!$A$4:$A$23,Products!$C$4:$C$23,"Not found")</f>
        <v>#NAME?</v>
      </c>
      <c r="S14" s="2" t="e">
        <f ca="1">_xludf.XLOOKUP(E14,Sales_Reps!$A$4:$A$11,Sales_Reps!$B$4:$B$11,"Not found")</f>
        <v>#NAME?</v>
      </c>
      <c r="T14" s="2" t="e">
        <f ca="1">_xludf.XLOOKUP(E14,Sales_Reps!$A$4:$A$11,Sales_Reps!$C$4:$C$11,"Not found")</f>
        <v>#NAME?</v>
      </c>
      <c r="U14" s="2"/>
      <c r="V14" s="2"/>
      <c r="W14" s="2"/>
      <c r="X14" s="2"/>
      <c r="Y14" s="2"/>
      <c r="Z14" s="2"/>
    </row>
    <row r="15" spans="1:26">
      <c r="A15" s="2" t="s">
        <v>319</v>
      </c>
      <c r="B15" s="6">
        <v>46120</v>
      </c>
      <c r="C15" s="2" t="s">
        <v>191</v>
      </c>
      <c r="D15" s="2" t="s">
        <v>269</v>
      </c>
      <c r="E15" s="2" t="s">
        <v>294</v>
      </c>
      <c r="F15" s="2">
        <v>1</v>
      </c>
      <c r="G15" s="4">
        <v>1100</v>
      </c>
      <c r="H15" s="5">
        <v>0</v>
      </c>
      <c r="I15" s="4">
        <v>1100</v>
      </c>
      <c r="J15" s="4">
        <v>748</v>
      </c>
      <c r="K15" s="2" t="s">
        <v>306</v>
      </c>
      <c r="L15" s="2" t="e">
        <f ca="1">_xludf.XLOOKUP(C15,Customers!$A$4:$A$53,Customers!$B$4:$B$53,"Not found")</f>
        <v>#NAME?</v>
      </c>
      <c r="M15" s="2" t="e">
        <f ca="1">_xludf.XLOOKUP(C15,Customers!$A$4:$A$53,Customers!$C$4:$C$53,"Not found")</f>
        <v>#NAME?</v>
      </c>
      <c r="N15" s="2" t="e">
        <f ca="1">_xludf.XLOOKUP(C15,Customers!$A$4:$A$53,Customers!$D$4:$D$53,"Not found")</f>
        <v>#NAME?</v>
      </c>
      <c r="O15" s="2" t="e">
        <f ca="1">_xludf.XLOOKUP(C15,Customers!$A$4:$A$53,Customers!$E$4:$E$53,"Not found")</f>
        <v>#NAME?</v>
      </c>
      <c r="P15" s="2" t="e">
        <f ca="1">_xludf.XLOOKUP(C15,Customers!$A$4:$A$53,Customers!$F$4:$F$53,"Not found")</f>
        <v>#NAME?</v>
      </c>
      <c r="Q15" s="2" t="e">
        <f ca="1">_xludf.XLOOKUP(D15,Products!$A$4:$A$23,Products!$B$4:$B$23,"Not found")</f>
        <v>#NAME?</v>
      </c>
      <c r="R15" s="2" t="e">
        <f ca="1">_xludf.XLOOKUP(D15,Products!$A$4:$A$23,Products!$C$4:$C$23,"Not found")</f>
        <v>#NAME?</v>
      </c>
      <c r="S15" s="2" t="e">
        <f ca="1">_xludf.XLOOKUP(E15,Sales_Reps!$A$4:$A$11,Sales_Reps!$B$4:$B$11,"Not found")</f>
        <v>#NAME?</v>
      </c>
      <c r="T15" s="2" t="e">
        <f ca="1">_xludf.XLOOKUP(E15,Sales_Reps!$A$4:$A$11,Sales_Reps!$C$4:$C$11,"Not found")</f>
        <v>#NAME?</v>
      </c>
      <c r="U15" s="2"/>
      <c r="V15" s="2"/>
      <c r="W15" s="2"/>
      <c r="X15" s="2"/>
      <c r="Y15" s="2"/>
      <c r="Z15" s="2"/>
    </row>
    <row r="16" spans="1:26" ht="15">
      <c r="A16" s="2" t="s">
        <v>320</v>
      </c>
      <c r="B16" s="6">
        <v>46165</v>
      </c>
      <c r="C16" s="2" t="s">
        <v>175</v>
      </c>
      <c r="D16" s="2" t="s">
        <v>254</v>
      </c>
      <c r="E16" s="2" t="s">
        <v>298</v>
      </c>
      <c r="F16" s="2">
        <v>5</v>
      </c>
      <c r="G16" s="4">
        <v>3500</v>
      </c>
      <c r="H16" s="5">
        <v>0.05</v>
      </c>
      <c r="I16" s="4">
        <v>16625</v>
      </c>
      <c r="J16" s="4">
        <v>9143.75</v>
      </c>
      <c r="K16" s="2" t="s">
        <v>309</v>
      </c>
      <c r="L16" s="2" t="e">
        <f ca="1">_xludf.XLOOKUP(C16,Customers!$A$4:$A$53,Customers!$B$4:$B$53,"Not found")</f>
        <v>#NAME?</v>
      </c>
      <c r="M16" s="2" t="e">
        <f ca="1">_xludf.XLOOKUP(C16,Customers!$A$4:$A$53,Customers!$C$4:$C$53,"Not found")</f>
        <v>#NAME?</v>
      </c>
      <c r="N16" s="2" t="e">
        <f ca="1">_xludf.XLOOKUP(C16,Customers!$A$4:$A$53,Customers!$D$4:$D$53,"Not found")</f>
        <v>#NAME?</v>
      </c>
      <c r="O16" s="2" t="e">
        <f ca="1">_xludf.XLOOKUP(C16,Customers!$A$4:$A$53,Customers!$E$4:$E$53,"Not found")</f>
        <v>#NAME?</v>
      </c>
      <c r="P16" s="2" t="e">
        <f ca="1">_xludf.XLOOKUP(C16,Customers!$A$4:$A$53,Customers!$F$4:$F$53,"Not found")</f>
        <v>#NAME?</v>
      </c>
      <c r="Q16" s="2" t="e">
        <f ca="1">_xludf.XLOOKUP(D16,Products!$A$4:$A$23,Products!$B$4:$B$23,"Not found")</f>
        <v>#NAME?</v>
      </c>
      <c r="R16" s="2" t="e">
        <f ca="1">_xludf.XLOOKUP(D16,Products!$A$4:$A$23,Products!$C$4:$C$23,"Not found")</f>
        <v>#NAME?</v>
      </c>
      <c r="S16" s="2" t="e">
        <f ca="1">_xludf.XLOOKUP(E16,Sales_Reps!$A$4:$A$11,Sales_Reps!$B$4:$B$11,"Not found")</f>
        <v>#NAME?</v>
      </c>
      <c r="T16" s="2" t="e">
        <f ca="1">_xludf.XLOOKUP(E16,Sales_Reps!$A$4:$A$11,Sales_Reps!$C$4:$C$11,"Not found")</f>
        <v>#NAME?</v>
      </c>
      <c r="U16" s="2"/>
      <c r="V16" s="2"/>
      <c r="W16" s="2"/>
      <c r="X16" s="2"/>
      <c r="Y16" s="2"/>
      <c r="Z16" s="2"/>
    </row>
    <row r="17" spans="1:26">
      <c r="A17" s="2" t="s">
        <v>321</v>
      </c>
      <c r="B17" s="6">
        <v>46103</v>
      </c>
      <c r="C17" s="2" t="s">
        <v>140</v>
      </c>
      <c r="D17" s="2" t="s">
        <v>249</v>
      </c>
      <c r="E17" s="2" t="s">
        <v>290</v>
      </c>
      <c r="F17" s="2">
        <v>1</v>
      </c>
      <c r="G17" s="4">
        <v>600</v>
      </c>
      <c r="H17" s="5">
        <v>0.15</v>
      </c>
      <c r="I17" s="4">
        <v>510</v>
      </c>
      <c r="J17" s="4">
        <v>331.5</v>
      </c>
      <c r="K17" s="2" t="s">
        <v>306</v>
      </c>
      <c r="L17" s="2" t="e">
        <f ca="1">_xludf.XLOOKUP(C17,Customers!$A$4:$A$53,Customers!$B$4:$B$53,"Not found")</f>
        <v>#NAME?</v>
      </c>
      <c r="M17" s="2" t="e">
        <f ca="1">_xludf.XLOOKUP(C17,Customers!$A$4:$A$53,Customers!$C$4:$C$53,"Not found")</f>
        <v>#NAME?</v>
      </c>
      <c r="N17" s="2" t="e">
        <f ca="1">_xludf.XLOOKUP(C17,Customers!$A$4:$A$53,Customers!$D$4:$D$53,"Not found")</f>
        <v>#NAME?</v>
      </c>
      <c r="O17" s="2" t="e">
        <f ca="1">_xludf.XLOOKUP(C17,Customers!$A$4:$A$53,Customers!$E$4:$E$53,"Not found")</f>
        <v>#NAME?</v>
      </c>
      <c r="P17" s="2" t="e">
        <f ca="1">_xludf.XLOOKUP(C17,Customers!$A$4:$A$53,Customers!$F$4:$F$53,"Not found")</f>
        <v>#NAME?</v>
      </c>
      <c r="Q17" s="2" t="e">
        <f ca="1">_xludf.XLOOKUP(D17,Products!$A$4:$A$23,Products!$B$4:$B$23,"Not found")</f>
        <v>#NAME?</v>
      </c>
      <c r="R17" s="2" t="e">
        <f ca="1">_xludf.XLOOKUP(D17,Products!$A$4:$A$23,Products!$C$4:$C$23,"Not found")</f>
        <v>#NAME?</v>
      </c>
      <c r="S17" s="2" t="e">
        <f ca="1">_xludf.XLOOKUP(E17,Sales_Reps!$A$4:$A$11,Sales_Reps!$B$4:$B$11,"Not found")</f>
        <v>#NAME?</v>
      </c>
      <c r="T17" s="2" t="e">
        <f ca="1">_xludf.XLOOKUP(E17,Sales_Reps!$A$4:$A$11,Sales_Reps!$C$4:$C$11,"Not found")</f>
        <v>#NAME?</v>
      </c>
      <c r="U17" s="2"/>
      <c r="V17" s="2"/>
      <c r="W17" s="2"/>
      <c r="X17" s="2"/>
      <c r="Y17" s="2"/>
      <c r="Z17" s="2"/>
    </row>
    <row r="18" spans="1:26">
      <c r="A18" s="2" t="s">
        <v>322</v>
      </c>
      <c r="B18" s="6">
        <v>46043</v>
      </c>
      <c r="C18" s="2" t="s">
        <v>118</v>
      </c>
      <c r="D18" s="2" t="s">
        <v>275</v>
      </c>
      <c r="E18" s="2" t="s">
        <v>75</v>
      </c>
      <c r="F18" s="2">
        <v>1</v>
      </c>
      <c r="G18" s="4">
        <v>450</v>
      </c>
      <c r="H18" s="5">
        <v>0.1</v>
      </c>
      <c r="I18" s="4">
        <v>405</v>
      </c>
      <c r="J18" s="4">
        <v>89.1</v>
      </c>
      <c r="K18" s="2" t="s">
        <v>306</v>
      </c>
      <c r="L18" s="2" t="e">
        <f ca="1">_xludf.XLOOKUP(C18,Customers!$A$4:$A$53,Customers!$B$4:$B$53,"Not found")</f>
        <v>#NAME?</v>
      </c>
      <c r="M18" s="2" t="e">
        <f ca="1">_xludf.XLOOKUP(C18,Customers!$A$4:$A$53,Customers!$C$4:$C$53,"Not found")</f>
        <v>#NAME?</v>
      </c>
      <c r="N18" s="2" t="e">
        <f ca="1">_xludf.XLOOKUP(C18,Customers!$A$4:$A$53,Customers!$D$4:$D$53,"Not found")</f>
        <v>#NAME?</v>
      </c>
      <c r="O18" s="2" t="e">
        <f ca="1">_xludf.XLOOKUP(C18,Customers!$A$4:$A$53,Customers!$E$4:$E$53,"Not found")</f>
        <v>#NAME?</v>
      </c>
      <c r="P18" s="2" t="e">
        <f ca="1">_xludf.XLOOKUP(C18,Customers!$A$4:$A$53,Customers!$F$4:$F$53,"Not found")</f>
        <v>#NAME?</v>
      </c>
      <c r="Q18" s="2" t="e">
        <f ca="1">_xludf.XLOOKUP(D18,Products!$A$4:$A$23,Products!$B$4:$B$23,"Not found")</f>
        <v>#NAME?</v>
      </c>
      <c r="R18" s="2" t="e">
        <f ca="1">_xludf.XLOOKUP(D18,Products!$A$4:$A$23,Products!$C$4:$C$23,"Not found")</f>
        <v>#NAME?</v>
      </c>
      <c r="S18" s="2" t="e">
        <f ca="1">_xludf.XLOOKUP(E18,Sales_Reps!$A$4:$A$11,Sales_Reps!$B$4:$B$11,"Not found")</f>
        <v>#NAME?</v>
      </c>
      <c r="T18" s="2" t="e">
        <f ca="1">_xludf.XLOOKUP(E18,Sales_Reps!$A$4:$A$11,Sales_Reps!$C$4:$C$11,"Not found")</f>
        <v>#NAME?</v>
      </c>
      <c r="U18" s="2"/>
      <c r="V18" s="2"/>
      <c r="W18" s="2"/>
      <c r="X18" s="2"/>
      <c r="Y18" s="2"/>
      <c r="Z18" s="2"/>
    </row>
    <row r="19" spans="1:26" ht="15">
      <c r="A19" s="2" t="s">
        <v>323</v>
      </c>
      <c r="B19" s="6">
        <v>46168</v>
      </c>
      <c r="C19" s="2" t="s">
        <v>122</v>
      </c>
      <c r="D19" s="2" t="s">
        <v>277</v>
      </c>
      <c r="E19" s="2" t="s">
        <v>75</v>
      </c>
      <c r="F19" s="2">
        <v>7</v>
      </c>
      <c r="G19" s="4">
        <v>900</v>
      </c>
      <c r="H19" s="5">
        <v>0</v>
      </c>
      <c r="I19" s="4">
        <v>6300</v>
      </c>
      <c r="J19" s="4">
        <v>1638</v>
      </c>
      <c r="K19" s="2" t="s">
        <v>306</v>
      </c>
      <c r="L19" s="2" t="e">
        <f ca="1">_xludf.XLOOKUP(C19,Customers!$A$4:$A$53,Customers!$B$4:$B$53,"Not found")</f>
        <v>#NAME?</v>
      </c>
      <c r="M19" s="2" t="e">
        <f ca="1">_xludf.XLOOKUP(C19,Customers!$A$4:$A$53,Customers!$C$4:$C$53,"Not found")</f>
        <v>#NAME?</v>
      </c>
      <c r="N19" s="2" t="e">
        <f ca="1">_xludf.XLOOKUP(C19,Customers!$A$4:$A$53,Customers!$D$4:$D$53,"Not found")</f>
        <v>#NAME?</v>
      </c>
      <c r="O19" s="2" t="e">
        <f ca="1">_xludf.XLOOKUP(C19,Customers!$A$4:$A$53,Customers!$E$4:$E$53,"Not found")</f>
        <v>#NAME?</v>
      </c>
      <c r="P19" s="2" t="e">
        <f ca="1">_xludf.XLOOKUP(C19,Customers!$A$4:$A$53,Customers!$F$4:$F$53,"Not found")</f>
        <v>#NAME?</v>
      </c>
      <c r="Q19" s="2" t="e">
        <f ca="1">_xludf.XLOOKUP(D19,Products!$A$4:$A$23,Products!$B$4:$B$23,"Not found")</f>
        <v>#NAME?</v>
      </c>
      <c r="R19" s="2" t="e">
        <f ca="1">_xludf.XLOOKUP(D19,Products!$A$4:$A$23,Products!$C$4:$C$23,"Not found")</f>
        <v>#NAME?</v>
      </c>
      <c r="S19" s="2" t="e">
        <f ca="1">_xludf.XLOOKUP(E19,Sales_Reps!$A$4:$A$11,Sales_Reps!$B$4:$B$11,"Not found")</f>
        <v>#NAME?</v>
      </c>
      <c r="T19" s="2" t="e">
        <f ca="1">_xludf.XLOOKUP(E19,Sales_Reps!$A$4:$A$11,Sales_Reps!$C$4:$C$11,"Not found")</f>
        <v>#NAME?</v>
      </c>
      <c r="U19" s="2"/>
      <c r="V19" s="2"/>
      <c r="W19" s="2"/>
      <c r="X19" s="2"/>
      <c r="Y19" s="2"/>
      <c r="Z19" s="2"/>
    </row>
    <row r="20" spans="1:26" ht="15">
      <c r="A20" s="2" t="s">
        <v>324</v>
      </c>
      <c r="B20" s="6">
        <v>46172</v>
      </c>
      <c r="C20" s="2" t="s">
        <v>204</v>
      </c>
      <c r="D20" s="2" t="s">
        <v>277</v>
      </c>
      <c r="E20" s="2" t="s">
        <v>75</v>
      </c>
      <c r="F20" s="2">
        <v>7</v>
      </c>
      <c r="G20" s="4">
        <v>900</v>
      </c>
      <c r="H20" s="5">
        <v>0.15</v>
      </c>
      <c r="I20" s="4">
        <v>5355</v>
      </c>
      <c r="J20" s="4">
        <v>1392.3</v>
      </c>
      <c r="K20" s="2" t="s">
        <v>313</v>
      </c>
      <c r="L20" s="2" t="e">
        <f ca="1">_xludf.XLOOKUP(C20,Customers!$A$4:$A$53,Customers!$B$4:$B$53,"Not found")</f>
        <v>#NAME?</v>
      </c>
      <c r="M20" s="2" t="e">
        <f ca="1">_xludf.XLOOKUP(C20,Customers!$A$4:$A$53,Customers!$C$4:$C$53,"Not found")</f>
        <v>#NAME?</v>
      </c>
      <c r="N20" s="2" t="e">
        <f ca="1">_xludf.XLOOKUP(C20,Customers!$A$4:$A$53,Customers!$D$4:$D$53,"Not found")</f>
        <v>#NAME?</v>
      </c>
      <c r="O20" s="2" t="e">
        <f ca="1">_xludf.XLOOKUP(C20,Customers!$A$4:$A$53,Customers!$E$4:$E$53,"Not found")</f>
        <v>#NAME?</v>
      </c>
      <c r="P20" s="2" t="e">
        <f ca="1">_xludf.XLOOKUP(C20,Customers!$A$4:$A$53,Customers!$F$4:$F$53,"Not found")</f>
        <v>#NAME?</v>
      </c>
      <c r="Q20" s="2" t="e">
        <f ca="1">_xludf.XLOOKUP(D20,Products!$A$4:$A$23,Products!$B$4:$B$23,"Not found")</f>
        <v>#NAME?</v>
      </c>
      <c r="R20" s="2" t="e">
        <f ca="1">_xludf.XLOOKUP(D20,Products!$A$4:$A$23,Products!$C$4:$C$23,"Not found")</f>
        <v>#NAME?</v>
      </c>
      <c r="S20" s="2" t="e">
        <f ca="1">_xludf.XLOOKUP(E20,Sales_Reps!$A$4:$A$11,Sales_Reps!$B$4:$B$11,"Not found")</f>
        <v>#NAME?</v>
      </c>
      <c r="T20" s="2" t="e">
        <f ca="1">_xludf.XLOOKUP(E20,Sales_Reps!$A$4:$A$11,Sales_Reps!$C$4:$C$11,"Not found")</f>
        <v>#NAME?</v>
      </c>
      <c r="U20" s="2"/>
      <c r="V20" s="2"/>
      <c r="W20" s="2"/>
      <c r="X20" s="2"/>
      <c r="Y20" s="2"/>
      <c r="Z20" s="2"/>
    </row>
    <row r="21" spans="1:26">
      <c r="A21" s="2" t="s">
        <v>325</v>
      </c>
      <c r="B21" s="6">
        <v>46090</v>
      </c>
      <c r="C21" s="2" t="s">
        <v>195</v>
      </c>
      <c r="D21" s="2" t="s">
        <v>259</v>
      </c>
      <c r="E21" s="2" t="s">
        <v>290</v>
      </c>
      <c r="F21" s="2">
        <v>6</v>
      </c>
      <c r="G21" s="4">
        <v>450</v>
      </c>
      <c r="H21" s="5">
        <v>0</v>
      </c>
      <c r="I21" s="4">
        <v>2700</v>
      </c>
      <c r="J21" s="4">
        <v>1674</v>
      </c>
      <c r="K21" s="2" t="s">
        <v>309</v>
      </c>
      <c r="L21" s="2" t="e">
        <f ca="1">_xludf.XLOOKUP(C21,Customers!$A$4:$A$53,Customers!$B$4:$B$53,"Not found")</f>
        <v>#NAME?</v>
      </c>
      <c r="M21" s="2" t="e">
        <f ca="1">_xludf.XLOOKUP(C21,Customers!$A$4:$A$53,Customers!$C$4:$C$53,"Not found")</f>
        <v>#NAME?</v>
      </c>
      <c r="N21" s="2" t="e">
        <f ca="1">_xludf.XLOOKUP(C21,Customers!$A$4:$A$53,Customers!$D$4:$D$53,"Not found")</f>
        <v>#NAME?</v>
      </c>
      <c r="O21" s="2" t="e">
        <f ca="1">_xludf.XLOOKUP(C21,Customers!$A$4:$A$53,Customers!$E$4:$E$53,"Not found")</f>
        <v>#NAME?</v>
      </c>
      <c r="P21" s="2" t="e">
        <f ca="1">_xludf.XLOOKUP(C21,Customers!$A$4:$A$53,Customers!$F$4:$F$53,"Not found")</f>
        <v>#NAME?</v>
      </c>
      <c r="Q21" s="2" t="e">
        <f ca="1">_xludf.XLOOKUP(D21,Products!$A$4:$A$23,Products!$B$4:$B$23,"Not found")</f>
        <v>#NAME?</v>
      </c>
      <c r="R21" s="2" t="e">
        <f ca="1">_xludf.XLOOKUP(D21,Products!$A$4:$A$23,Products!$C$4:$C$23,"Not found")</f>
        <v>#NAME?</v>
      </c>
      <c r="S21" s="2" t="e">
        <f ca="1">_xludf.XLOOKUP(E21,Sales_Reps!$A$4:$A$11,Sales_Reps!$B$4:$B$11,"Not found")</f>
        <v>#NAME?</v>
      </c>
      <c r="T21" s="2" t="e">
        <f ca="1">_xludf.XLOOKUP(E21,Sales_Reps!$A$4:$A$11,Sales_Reps!$C$4:$C$11,"Not found")</f>
        <v>#NAME?</v>
      </c>
      <c r="U21" s="2"/>
      <c r="V21" s="2"/>
      <c r="W21" s="2"/>
      <c r="X21" s="2"/>
      <c r="Y21" s="2"/>
      <c r="Z21" s="2"/>
    </row>
    <row r="22" spans="1:26">
      <c r="A22" s="2" t="s">
        <v>326</v>
      </c>
      <c r="B22" s="6">
        <v>46167</v>
      </c>
      <c r="C22" s="2" t="s">
        <v>136</v>
      </c>
      <c r="D22" s="2" t="s">
        <v>257</v>
      </c>
      <c r="E22" s="2" t="s">
        <v>284</v>
      </c>
      <c r="F22" s="2">
        <v>1</v>
      </c>
      <c r="G22" s="4">
        <v>1200</v>
      </c>
      <c r="H22" s="5">
        <v>0.05</v>
      </c>
      <c r="I22" s="4">
        <v>1140</v>
      </c>
      <c r="J22" s="4">
        <v>684</v>
      </c>
      <c r="K22" s="2" t="s">
        <v>306</v>
      </c>
      <c r="L22" s="2" t="e">
        <f ca="1">_xludf.XLOOKUP(C22,Customers!$A$4:$A$53,Customers!$B$4:$B$53,"Not found")</f>
        <v>#NAME?</v>
      </c>
      <c r="M22" s="2" t="e">
        <f ca="1">_xludf.XLOOKUP(C22,Customers!$A$4:$A$53,Customers!$C$4:$C$53,"Not found")</f>
        <v>#NAME?</v>
      </c>
      <c r="N22" s="2" t="e">
        <f ca="1">_xludf.XLOOKUP(C22,Customers!$A$4:$A$53,Customers!$D$4:$D$53,"Not found")</f>
        <v>#NAME?</v>
      </c>
      <c r="O22" s="2" t="e">
        <f ca="1">_xludf.XLOOKUP(C22,Customers!$A$4:$A$53,Customers!$E$4:$E$53,"Not found")</f>
        <v>#NAME?</v>
      </c>
      <c r="P22" s="2" t="e">
        <f ca="1">_xludf.XLOOKUP(C22,Customers!$A$4:$A$53,Customers!$F$4:$F$53,"Not found")</f>
        <v>#NAME?</v>
      </c>
      <c r="Q22" s="2" t="e">
        <f ca="1">_xludf.XLOOKUP(D22,Products!$A$4:$A$23,Products!$B$4:$B$23,"Not found")</f>
        <v>#NAME?</v>
      </c>
      <c r="R22" s="2" t="e">
        <f ca="1">_xludf.XLOOKUP(D22,Products!$A$4:$A$23,Products!$C$4:$C$23,"Not found")</f>
        <v>#NAME?</v>
      </c>
      <c r="S22" s="2" t="e">
        <f ca="1">_xludf.XLOOKUP(E22,Sales_Reps!$A$4:$A$11,Sales_Reps!$B$4:$B$11,"Not found")</f>
        <v>#NAME?</v>
      </c>
      <c r="T22" s="2" t="e">
        <f ca="1">_xludf.XLOOKUP(E22,Sales_Reps!$A$4:$A$11,Sales_Reps!$C$4:$C$11,"Not found")</f>
        <v>#NAME?</v>
      </c>
      <c r="U22" s="2"/>
      <c r="V22" s="2"/>
      <c r="W22" s="2"/>
      <c r="X22" s="2"/>
      <c r="Y22" s="2"/>
      <c r="Z22" s="2"/>
    </row>
    <row r="23" spans="1:26">
      <c r="A23" s="2" t="s">
        <v>327</v>
      </c>
      <c r="B23" s="6">
        <v>46040</v>
      </c>
      <c r="C23" s="2" t="s">
        <v>122</v>
      </c>
      <c r="D23" s="2" t="s">
        <v>273</v>
      </c>
      <c r="E23" s="2" t="s">
        <v>292</v>
      </c>
      <c r="F23" s="2">
        <v>3</v>
      </c>
      <c r="G23" s="4">
        <v>350</v>
      </c>
      <c r="H23" s="5">
        <v>0</v>
      </c>
      <c r="I23" s="4">
        <v>1050</v>
      </c>
      <c r="J23" s="4">
        <v>609</v>
      </c>
      <c r="K23" s="2" t="s">
        <v>306</v>
      </c>
      <c r="L23" s="2" t="e">
        <f ca="1">_xludf.XLOOKUP(C23,Customers!$A$4:$A$53,Customers!$B$4:$B$53,"Not found")</f>
        <v>#NAME?</v>
      </c>
      <c r="M23" s="2" t="e">
        <f ca="1">_xludf.XLOOKUP(C23,Customers!$A$4:$A$53,Customers!$C$4:$C$53,"Not found")</f>
        <v>#NAME?</v>
      </c>
      <c r="N23" s="2" t="e">
        <f ca="1">_xludf.XLOOKUP(C23,Customers!$A$4:$A$53,Customers!$D$4:$D$53,"Not found")</f>
        <v>#NAME?</v>
      </c>
      <c r="O23" s="2" t="e">
        <f ca="1">_xludf.XLOOKUP(C23,Customers!$A$4:$A$53,Customers!$E$4:$E$53,"Not found")</f>
        <v>#NAME?</v>
      </c>
      <c r="P23" s="2" t="e">
        <f ca="1">_xludf.XLOOKUP(C23,Customers!$A$4:$A$53,Customers!$F$4:$F$53,"Not found")</f>
        <v>#NAME?</v>
      </c>
      <c r="Q23" s="2" t="e">
        <f ca="1">_xludf.XLOOKUP(D23,Products!$A$4:$A$23,Products!$B$4:$B$23,"Not found")</f>
        <v>#NAME?</v>
      </c>
      <c r="R23" s="2" t="e">
        <f ca="1">_xludf.XLOOKUP(D23,Products!$A$4:$A$23,Products!$C$4:$C$23,"Not found")</f>
        <v>#NAME?</v>
      </c>
      <c r="S23" s="2" t="e">
        <f ca="1">_xludf.XLOOKUP(E23,Sales_Reps!$A$4:$A$11,Sales_Reps!$B$4:$B$11,"Not found")</f>
        <v>#NAME?</v>
      </c>
      <c r="T23" s="2" t="e">
        <f ca="1">_xludf.XLOOKUP(E23,Sales_Reps!$A$4:$A$11,Sales_Reps!$C$4:$C$11,"Not found")</f>
        <v>#NAME?</v>
      </c>
      <c r="U23" s="2"/>
      <c r="V23" s="2"/>
      <c r="W23" s="2"/>
      <c r="X23" s="2"/>
      <c r="Y23" s="2"/>
      <c r="Z23" s="2"/>
    </row>
    <row r="24" spans="1:26">
      <c r="A24" s="2" t="s">
        <v>328</v>
      </c>
      <c r="B24" s="6">
        <v>46164</v>
      </c>
      <c r="C24" s="2" t="s">
        <v>173</v>
      </c>
      <c r="D24" s="2" t="s">
        <v>257</v>
      </c>
      <c r="E24" s="2" t="s">
        <v>294</v>
      </c>
      <c r="F24" s="2">
        <v>1</v>
      </c>
      <c r="G24" s="4">
        <v>1200</v>
      </c>
      <c r="H24" s="5">
        <v>0.15</v>
      </c>
      <c r="I24" s="4">
        <v>1020</v>
      </c>
      <c r="J24" s="4">
        <v>612</v>
      </c>
      <c r="K24" s="2" t="s">
        <v>306</v>
      </c>
      <c r="L24" s="2" t="e">
        <f ca="1">_xludf.XLOOKUP(C24,Customers!$A$4:$A$53,Customers!$B$4:$B$53,"Not found")</f>
        <v>#NAME?</v>
      </c>
      <c r="M24" s="2" t="e">
        <f ca="1">_xludf.XLOOKUP(C24,Customers!$A$4:$A$53,Customers!$C$4:$C$53,"Not found")</f>
        <v>#NAME?</v>
      </c>
      <c r="N24" s="2" t="e">
        <f ca="1">_xludf.XLOOKUP(C24,Customers!$A$4:$A$53,Customers!$D$4:$D$53,"Not found")</f>
        <v>#NAME?</v>
      </c>
      <c r="O24" s="2" t="e">
        <f ca="1">_xludf.XLOOKUP(C24,Customers!$A$4:$A$53,Customers!$E$4:$E$53,"Not found")</f>
        <v>#NAME?</v>
      </c>
      <c r="P24" s="2" t="e">
        <f ca="1">_xludf.XLOOKUP(C24,Customers!$A$4:$A$53,Customers!$F$4:$F$53,"Not found")</f>
        <v>#NAME?</v>
      </c>
      <c r="Q24" s="2" t="e">
        <f ca="1">_xludf.XLOOKUP(D24,Products!$A$4:$A$23,Products!$B$4:$B$23,"Not found")</f>
        <v>#NAME?</v>
      </c>
      <c r="R24" s="2" t="e">
        <f ca="1">_xludf.XLOOKUP(D24,Products!$A$4:$A$23,Products!$C$4:$C$23,"Not found")</f>
        <v>#NAME?</v>
      </c>
      <c r="S24" s="2" t="e">
        <f ca="1">_xludf.XLOOKUP(E24,Sales_Reps!$A$4:$A$11,Sales_Reps!$B$4:$B$11,"Not found")</f>
        <v>#NAME?</v>
      </c>
      <c r="T24" s="2" t="e">
        <f ca="1">_xludf.XLOOKUP(E24,Sales_Reps!$A$4:$A$11,Sales_Reps!$C$4:$C$11,"Not found")</f>
        <v>#NAME?</v>
      </c>
      <c r="U24" s="2"/>
      <c r="V24" s="2"/>
      <c r="W24" s="2"/>
      <c r="X24" s="2"/>
      <c r="Y24" s="2"/>
      <c r="Z24" s="2"/>
    </row>
    <row r="25" spans="1:26">
      <c r="A25" s="2" t="s">
        <v>329</v>
      </c>
      <c r="B25" s="6">
        <v>46050</v>
      </c>
      <c r="C25" s="2" t="s">
        <v>215</v>
      </c>
      <c r="D25" s="2" t="s">
        <v>242</v>
      </c>
      <c r="E25" s="2" t="s">
        <v>287</v>
      </c>
      <c r="F25" s="2">
        <v>5</v>
      </c>
      <c r="G25" s="4">
        <v>70</v>
      </c>
      <c r="H25" s="5">
        <v>0</v>
      </c>
      <c r="I25" s="4">
        <v>350</v>
      </c>
      <c r="J25" s="4">
        <v>140</v>
      </c>
      <c r="K25" s="2" t="s">
        <v>313</v>
      </c>
      <c r="L25" s="2" t="e">
        <f ca="1">_xludf.XLOOKUP(C25,Customers!$A$4:$A$53,Customers!$B$4:$B$53,"Not found")</f>
        <v>#NAME?</v>
      </c>
      <c r="M25" s="2" t="e">
        <f ca="1">_xludf.XLOOKUP(C25,Customers!$A$4:$A$53,Customers!$C$4:$C$53,"Not found")</f>
        <v>#NAME?</v>
      </c>
      <c r="N25" s="2" t="e">
        <f ca="1">_xludf.XLOOKUP(C25,Customers!$A$4:$A$53,Customers!$D$4:$D$53,"Not found")</f>
        <v>#NAME?</v>
      </c>
      <c r="O25" s="2" t="e">
        <f ca="1">_xludf.XLOOKUP(C25,Customers!$A$4:$A$53,Customers!$E$4:$E$53,"Not found")</f>
        <v>#NAME?</v>
      </c>
      <c r="P25" s="2" t="e">
        <f ca="1">_xludf.XLOOKUP(C25,Customers!$A$4:$A$53,Customers!$F$4:$F$53,"Not found")</f>
        <v>#NAME?</v>
      </c>
      <c r="Q25" s="2" t="e">
        <f ca="1">_xludf.XLOOKUP(D25,Products!$A$4:$A$23,Products!$B$4:$B$23,"Not found")</f>
        <v>#NAME?</v>
      </c>
      <c r="R25" s="2" t="e">
        <f ca="1">_xludf.XLOOKUP(D25,Products!$A$4:$A$23,Products!$C$4:$C$23,"Not found")</f>
        <v>#NAME?</v>
      </c>
      <c r="S25" s="2" t="e">
        <f ca="1">_xludf.XLOOKUP(E25,Sales_Reps!$A$4:$A$11,Sales_Reps!$B$4:$B$11,"Not found")</f>
        <v>#NAME?</v>
      </c>
      <c r="T25" s="2" t="e">
        <f ca="1">_xludf.XLOOKUP(E25,Sales_Reps!$A$4:$A$11,Sales_Reps!$C$4:$C$11,"Not found")</f>
        <v>#NAME?</v>
      </c>
      <c r="U25" s="2"/>
      <c r="V25" s="2"/>
      <c r="W25" s="2"/>
      <c r="X25" s="2"/>
      <c r="Y25" s="2"/>
      <c r="Z25" s="2"/>
    </row>
    <row r="26" spans="1:26" ht="15">
      <c r="A26" s="2" t="s">
        <v>330</v>
      </c>
      <c r="B26" s="6">
        <v>46090</v>
      </c>
      <c r="C26" s="2" t="s">
        <v>140</v>
      </c>
      <c r="D26" s="2" t="s">
        <v>254</v>
      </c>
      <c r="E26" s="2" t="s">
        <v>290</v>
      </c>
      <c r="F26" s="2">
        <v>6</v>
      </c>
      <c r="G26" s="4">
        <v>3500</v>
      </c>
      <c r="H26" s="5">
        <v>0</v>
      </c>
      <c r="I26" s="4">
        <v>21000</v>
      </c>
      <c r="J26" s="4">
        <v>11550</v>
      </c>
      <c r="K26" s="2" t="s">
        <v>313</v>
      </c>
      <c r="L26" s="2" t="e">
        <f ca="1">_xludf.XLOOKUP(C26,Customers!$A$4:$A$53,Customers!$B$4:$B$53,"Not found")</f>
        <v>#NAME?</v>
      </c>
      <c r="M26" s="2" t="e">
        <f ca="1">_xludf.XLOOKUP(C26,Customers!$A$4:$A$53,Customers!$C$4:$C$53,"Not found")</f>
        <v>#NAME?</v>
      </c>
      <c r="N26" s="2" t="e">
        <f ca="1">_xludf.XLOOKUP(C26,Customers!$A$4:$A$53,Customers!$D$4:$D$53,"Not found")</f>
        <v>#NAME?</v>
      </c>
      <c r="O26" s="2" t="e">
        <f ca="1">_xludf.XLOOKUP(C26,Customers!$A$4:$A$53,Customers!$E$4:$E$53,"Not found")</f>
        <v>#NAME?</v>
      </c>
      <c r="P26" s="2" t="e">
        <f ca="1">_xludf.XLOOKUP(C26,Customers!$A$4:$A$53,Customers!$F$4:$F$53,"Not found")</f>
        <v>#NAME?</v>
      </c>
      <c r="Q26" s="2" t="e">
        <f ca="1">_xludf.XLOOKUP(D26,Products!$A$4:$A$23,Products!$B$4:$B$23,"Not found")</f>
        <v>#NAME?</v>
      </c>
      <c r="R26" s="2" t="e">
        <f ca="1">_xludf.XLOOKUP(D26,Products!$A$4:$A$23,Products!$C$4:$C$23,"Not found")</f>
        <v>#NAME?</v>
      </c>
      <c r="S26" s="2" t="e">
        <f ca="1">_xludf.XLOOKUP(E26,Sales_Reps!$A$4:$A$11,Sales_Reps!$B$4:$B$11,"Not found")</f>
        <v>#NAME?</v>
      </c>
      <c r="T26" s="2" t="e">
        <f ca="1">_xludf.XLOOKUP(E26,Sales_Reps!$A$4:$A$11,Sales_Reps!$C$4:$C$11,"Not found")</f>
        <v>#NAME?</v>
      </c>
      <c r="U26" s="2"/>
      <c r="V26" s="2"/>
      <c r="W26" s="2"/>
      <c r="X26" s="2"/>
      <c r="Y26" s="2"/>
      <c r="Z26" s="2"/>
    </row>
    <row r="27" spans="1:26" ht="15">
      <c r="A27" s="2" t="s">
        <v>331</v>
      </c>
      <c r="B27" s="6">
        <v>46131</v>
      </c>
      <c r="C27" s="2" t="s">
        <v>191</v>
      </c>
      <c r="D27" s="2" t="s">
        <v>254</v>
      </c>
      <c r="E27" s="2" t="s">
        <v>75</v>
      </c>
      <c r="F27" s="2">
        <v>2</v>
      </c>
      <c r="G27" s="4">
        <v>3500</v>
      </c>
      <c r="H27" s="5">
        <v>0.15</v>
      </c>
      <c r="I27" s="4">
        <v>5950</v>
      </c>
      <c r="J27" s="4">
        <v>3272.5</v>
      </c>
      <c r="K27" s="2" t="s">
        <v>306</v>
      </c>
      <c r="L27" s="2" t="e">
        <f ca="1">_xludf.XLOOKUP(C27,Customers!$A$4:$A$53,Customers!$B$4:$B$53,"Not found")</f>
        <v>#NAME?</v>
      </c>
      <c r="M27" s="2" t="e">
        <f ca="1">_xludf.XLOOKUP(C27,Customers!$A$4:$A$53,Customers!$C$4:$C$53,"Not found")</f>
        <v>#NAME?</v>
      </c>
      <c r="N27" s="2" t="e">
        <f ca="1">_xludf.XLOOKUP(C27,Customers!$A$4:$A$53,Customers!$D$4:$D$53,"Not found")</f>
        <v>#NAME?</v>
      </c>
      <c r="O27" s="2" t="e">
        <f ca="1">_xludf.XLOOKUP(C27,Customers!$A$4:$A$53,Customers!$E$4:$E$53,"Not found")</f>
        <v>#NAME?</v>
      </c>
      <c r="P27" s="2" t="e">
        <f ca="1">_xludf.XLOOKUP(C27,Customers!$A$4:$A$53,Customers!$F$4:$F$53,"Not found")</f>
        <v>#NAME?</v>
      </c>
      <c r="Q27" s="2" t="e">
        <f ca="1">_xludf.XLOOKUP(D27,Products!$A$4:$A$23,Products!$B$4:$B$23,"Not found")</f>
        <v>#NAME?</v>
      </c>
      <c r="R27" s="2" t="e">
        <f ca="1">_xludf.XLOOKUP(D27,Products!$A$4:$A$23,Products!$C$4:$C$23,"Not found")</f>
        <v>#NAME?</v>
      </c>
      <c r="S27" s="2" t="e">
        <f ca="1">_xludf.XLOOKUP(E27,Sales_Reps!$A$4:$A$11,Sales_Reps!$B$4:$B$11,"Not found")</f>
        <v>#NAME?</v>
      </c>
      <c r="T27" s="2" t="e">
        <f ca="1">_xludf.XLOOKUP(E27,Sales_Reps!$A$4:$A$11,Sales_Reps!$C$4:$C$11,"Not found")</f>
        <v>#NAME?</v>
      </c>
      <c r="U27" s="2"/>
      <c r="V27" s="2"/>
      <c r="W27" s="2"/>
      <c r="X27" s="2"/>
      <c r="Y27" s="2"/>
      <c r="Z27" s="2"/>
    </row>
    <row r="28" spans="1:26" ht="15">
      <c r="A28" s="2" t="s">
        <v>332</v>
      </c>
      <c r="B28" s="6">
        <v>46136</v>
      </c>
      <c r="C28" s="2" t="s">
        <v>114</v>
      </c>
      <c r="D28" s="2" t="s">
        <v>70</v>
      </c>
      <c r="E28" s="2" t="s">
        <v>284</v>
      </c>
      <c r="F28" s="2">
        <v>5</v>
      </c>
      <c r="G28" s="4">
        <v>1200</v>
      </c>
      <c r="H28" s="5">
        <v>0</v>
      </c>
      <c r="I28" s="4">
        <v>6000</v>
      </c>
      <c r="J28" s="4">
        <v>1680</v>
      </c>
      <c r="K28" s="2" t="s">
        <v>313</v>
      </c>
      <c r="L28" s="2" t="e">
        <f ca="1">_xludf.XLOOKUP(C28,Customers!$A$4:$A$53,Customers!$B$4:$B$53,"Not found")</f>
        <v>#NAME?</v>
      </c>
      <c r="M28" s="2" t="e">
        <f ca="1">_xludf.XLOOKUP(C28,Customers!$A$4:$A$53,Customers!$C$4:$C$53,"Not found")</f>
        <v>#NAME?</v>
      </c>
      <c r="N28" s="2" t="e">
        <f ca="1">_xludf.XLOOKUP(C28,Customers!$A$4:$A$53,Customers!$D$4:$D$53,"Not found")</f>
        <v>#NAME?</v>
      </c>
      <c r="O28" s="2" t="e">
        <f ca="1">_xludf.XLOOKUP(C28,Customers!$A$4:$A$53,Customers!$E$4:$E$53,"Not found")</f>
        <v>#NAME?</v>
      </c>
      <c r="P28" s="2" t="e">
        <f ca="1">_xludf.XLOOKUP(C28,Customers!$A$4:$A$53,Customers!$F$4:$F$53,"Not found")</f>
        <v>#NAME?</v>
      </c>
      <c r="Q28" s="2" t="e">
        <f ca="1">_xludf.XLOOKUP(D28,Products!$A$4:$A$23,Products!$B$4:$B$23,"Not found")</f>
        <v>#NAME?</v>
      </c>
      <c r="R28" s="2" t="e">
        <f ca="1">_xludf.XLOOKUP(D28,Products!$A$4:$A$23,Products!$C$4:$C$23,"Not found")</f>
        <v>#NAME?</v>
      </c>
      <c r="S28" s="2" t="e">
        <f ca="1">_xludf.XLOOKUP(E28,Sales_Reps!$A$4:$A$11,Sales_Reps!$B$4:$B$11,"Not found")</f>
        <v>#NAME?</v>
      </c>
      <c r="T28" s="2" t="e">
        <f ca="1">_xludf.XLOOKUP(E28,Sales_Reps!$A$4:$A$11,Sales_Reps!$C$4:$C$11,"Not found")</f>
        <v>#NAME?</v>
      </c>
      <c r="U28" s="2"/>
      <c r="V28" s="2"/>
      <c r="W28" s="2"/>
      <c r="X28" s="2"/>
      <c r="Y28" s="2"/>
      <c r="Z28" s="2"/>
    </row>
    <row r="29" spans="1:26">
      <c r="A29" s="2" t="s">
        <v>333</v>
      </c>
      <c r="B29" s="6">
        <v>46061</v>
      </c>
      <c r="C29" s="2" t="s">
        <v>221</v>
      </c>
      <c r="D29" s="2" t="s">
        <v>265</v>
      </c>
      <c r="E29" s="2" t="s">
        <v>284</v>
      </c>
      <c r="F29" s="2">
        <v>2</v>
      </c>
      <c r="G29" s="4">
        <v>650</v>
      </c>
      <c r="H29" s="5">
        <v>0.15</v>
      </c>
      <c r="I29" s="4">
        <v>1105</v>
      </c>
      <c r="J29" s="4">
        <v>353.6</v>
      </c>
      <c r="K29" s="2" t="s">
        <v>313</v>
      </c>
      <c r="L29" s="2" t="e">
        <f ca="1">_xludf.XLOOKUP(C29,Customers!$A$4:$A$53,Customers!$B$4:$B$53,"Not found")</f>
        <v>#NAME?</v>
      </c>
      <c r="M29" s="2" t="e">
        <f ca="1">_xludf.XLOOKUP(C29,Customers!$A$4:$A$53,Customers!$C$4:$C$53,"Not found")</f>
        <v>#NAME?</v>
      </c>
      <c r="N29" s="2" t="e">
        <f ca="1">_xludf.XLOOKUP(C29,Customers!$A$4:$A$53,Customers!$D$4:$D$53,"Not found")</f>
        <v>#NAME?</v>
      </c>
      <c r="O29" s="2" t="e">
        <f ca="1">_xludf.XLOOKUP(C29,Customers!$A$4:$A$53,Customers!$E$4:$E$53,"Not found")</f>
        <v>#NAME?</v>
      </c>
      <c r="P29" s="2" t="e">
        <f ca="1">_xludf.XLOOKUP(C29,Customers!$A$4:$A$53,Customers!$F$4:$F$53,"Not found")</f>
        <v>#NAME?</v>
      </c>
      <c r="Q29" s="2" t="e">
        <f ca="1">_xludf.XLOOKUP(D29,Products!$A$4:$A$23,Products!$B$4:$B$23,"Not found")</f>
        <v>#NAME?</v>
      </c>
      <c r="R29" s="2" t="e">
        <f ca="1">_xludf.XLOOKUP(D29,Products!$A$4:$A$23,Products!$C$4:$C$23,"Not found")</f>
        <v>#NAME?</v>
      </c>
      <c r="S29" s="2" t="e">
        <f ca="1">_xludf.XLOOKUP(E29,Sales_Reps!$A$4:$A$11,Sales_Reps!$B$4:$B$11,"Not found")</f>
        <v>#NAME?</v>
      </c>
      <c r="T29" s="2" t="e">
        <f ca="1">_xludf.XLOOKUP(E29,Sales_Reps!$A$4:$A$11,Sales_Reps!$C$4:$C$11,"Not found")</f>
        <v>#NAME?</v>
      </c>
      <c r="U29" s="2"/>
      <c r="V29" s="2"/>
      <c r="W29" s="2"/>
      <c r="X29" s="2"/>
      <c r="Y29" s="2"/>
      <c r="Z29" s="2"/>
    </row>
    <row r="30" spans="1:26" ht="15">
      <c r="A30" s="2" t="s">
        <v>334</v>
      </c>
      <c r="B30" s="6">
        <v>46033</v>
      </c>
      <c r="C30" s="2" t="s">
        <v>114</v>
      </c>
      <c r="D30" s="2" t="s">
        <v>261</v>
      </c>
      <c r="E30" s="2" t="s">
        <v>284</v>
      </c>
      <c r="F30" s="2">
        <v>7</v>
      </c>
      <c r="G30" s="4">
        <v>2200</v>
      </c>
      <c r="H30" s="5">
        <v>0</v>
      </c>
      <c r="I30" s="4">
        <v>15400</v>
      </c>
      <c r="J30" s="4">
        <v>7700</v>
      </c>
      <c r="K30" s="2" t="s">
        <v>306</v>
      </c>
      <c r="L30" s="2" t="e">
        <f ca="1">_xludf.XLOOKUP(C30,Customers!$A$4:$A$53,Customers!$B$4:$B$53,"Not found")</f>
        <v>#NAME?</v>
      </c>
      <c r="M30" s="2" t="e">
        <f ca="1">_xludf.XLOOKUP(C30,Customers!$A$4:$A$53,Customers!$C$4:$C$53,"Not found")</f>
        <v>#NAME?</v>
      </c>
      <c r="N30" s="2" t="e">
        <f ca="1">_xludf.XLOOKUP(C30,Customers!$A$4:$A$53,Customers!$D$4:$D$53,"Not found")</f>
        <v>#NAME?</v>
      </c>
      <c r="O30" s="2" t="e">
        <f ca="1">_xludf.XLOOKUP(C30,Customers!$A$4:$A$53,Customers!$E$4:$E$53,"Not found")</f>
        <v>#NAME?</v>
      </c>
      <c r="P30" s="2" t="e">
        <f ca="1">_xludf.XLOOKUP(C30,Customers!$A$4:$A$53,Customers!$F$4:$F$53,"Not found")</f>
        <v>#NAME?</v>
      </c>
      <c r="Q30" s="2" t="e">
        <f ca="1">_xludf.XLOOKUP(D30,Products!$A$4:$A$23,Products!$B$4:$B$23,"Not found")</f>
        <v>#NAME?</v>
      </c>
      <c r="R30" s="2" t="e">
        <f ca="1">_xludf.XLOOKUP(D30,Products!$A$4:$A$23,Products!$C$4:$C$23,"Not found")</f>
        <v>#NAME?</v>
      </c>
      <c r="S30" s="2" t="e">
        <f ca="1">_xludf.XLOOKUP(E30,Sales_Reps!$A$4:$A$11,Sales_Reps!$B$4:$B$11,"Not found")</f>
        <v>#NAME?</v>
      </c>
      <c r="T30" s="2" t="e">
        <f ca="1">_xludf.XLOOKUP(E30,Sales_Reps!$A$4:$A$11,Sales_Reps!$C$4:$C$11,"Not found")</f>
        <v>#NAME?</v>
      </c>
      <c r="U30" s="2"/>
      <c r="V30" s="2"/>
      <c r="W30" s="2"/>
      <c r="X30" s="2"/>
      <c r="Y30" s="2"/>
      <c r="Z30" s="2"/>
    </row>
    <row r="31" spans="1:26" ht="15">
      <c r="A31" s="2" t="s">
        <v>335</v>
      </c>
      <c r="B31" s="6">
        <v>46049</v>
      </c>
      <c r="C31" s="2" t="s">
        <v>173</v>
      </c>
      <c r="D31" s="2" t="s">
        <v>238</v>
      </c>
      <c r="E31" s="2" t="s">
        <v>290</v>
      </c>
      <c r="F31" s="2">
        <v>4</v>
      </c>
      <c r="G31" s="4">
        <v>1800</v>
      </c>
      <c r="H31" s="5">
        <v>0.15</v>
      </c>
      <c r="I31" s="4">
        <v>6120</v>
      </c>
      <c r="J31" s="4">
        <v>1530</v>
      </c>
      <c r="K31" s="2" t="s">
        <v>306</v>
      </c>
      <c r="L31" s="2" t="e">
        <f ca="1">_xludf.XLOOKUP(C31,Customers!$A$4:$A$53,Customers!$B$4:$B$53,"Not found")</f>
        <v>#NAME?</v>
      </c>
      <c r="M31" s="2" t="e">
        <f ca="1">_xludf.XLOOKUP(C31,Customers!$A$4:$A$53,Customers!$C$4:$C$53,"Not found")</f>
        <v>#NAME?</v>
      </c>
      <c r="N31" s="2" t="e">
        <f ca="1">_xludf.XLOOKUP(C31,Customers!$A$4:$A$53,Customers!$D$4:$D$53,"Not found")</f>
        <v>#NAME?</v>
      </c>
      <c r="O31" s="2" t="e">
        <f ca="1">_xludf.XLOOKUP(C31,Customers!$A$4:$A$53,Customers!$E$4:$E$53,"Not found")</f>
        <v>#NAME?</v>
      </c>
      <c r="P31" s="2" t="e">
        <f ca="1">_xludf.XLOOKUP(C31,Customers!$A$4:$A$53,Customers!$F$4:$F$53,"Not found")</f>
        <v>#NAME?</v>
      </c>
      <c r="Q31" s="2" t="e">
        <f ca="1">_xludf.XLOOKUP(D31,Products!$A$4:$A$23,Products!$B$4:$B$23,"Not found")</f>
        <v>#NAME?</v>
      </c>
      <c r="R31" s="2" t="e">
        <f ca="1">_xludf.XLOOKUP(D31,Products!$A$4:$A$23,Products!$C$4:$C$23,"Not found")</f>
        <v>#NAME?</v>
      </c>
      <c r="S31" s="2" t="e">
        <f ca="1">_xludf.XLOOKUP(E31,Sales_Reps!$A$4:$A$11,Sales_Reps!$B$4:$B$11,"Not found")</f>
        <v>#NAME?</v>
      </c>
      <c r="T31" s="2" t="e">
        <f ca="1">_xludf.XLOOKUP(E31,Sales_Reps!$A$4:$A$11,Sales_Reps!$C$4:$C$11,"Not found")</f>
        <v>#NAME?</v>
      </c>
      <c r="U31" s="2"/>
      <c r="V31" s="2"/>
      <c r="W31" s="2"/>
      <c r="X31" s="2"/>
      <c r="Y31" s="2"/>
      <c r="Z31" s="2"/>
    </row>
    <row r="32" spans="1:26">
      <c r="A32" s="2" t="s">
        <v>336</v>
      </c>
      <c r="B32" s="6">
        <v>46064</v>
      </c>
      <c r="C32" s="2" t="s">
        <v>229</v>
      </c>
      <c r="D32" s="2" t="s">
        <v>273</v>
      </c>
      <c r="E32" s="2" t="s">
        <v>296</v>
      </c>
      <c r="F32" s="2">
        <v>3</v>
      </c>
      <c r="G32" s="4">
        <v>350</v>
      </c>
      <c r="H32" s="5">
        <v>0</v>
      </c>
      <c r="I32" s="4">
        <v>1050</v>
      </c>
      <c r="J32" s="4">
        <v>609</v>
      </c>
      <c r="K32" s="2" t="s">
        <v>306</v>
      </c>
      <c r="L32" s="2" t="e">
        <f ca="1">_xludf.XLOOKUP(C32,Customers!$A$4:$A$53,Customers!$B$4:$B$53,"Not found")</f>
        <v>#NAME?</v>
      </c>
      <c r="M32" s="2" t="e">
        <f ca="1">_xludf.XLOOKUP(C32,Customers!$A$4:$A$53,Customers!$C$4:$C$53,"Not found")</f>
        <v>#NAME?</v>
      </c>
      <c r="N32" s="2" t="e">
        <f ca="1">_xludf.XLOOKUP(C32,Customers!$A$4:$A$53,Customers!$D$4:$D$53,"Not found")</f>
        <v>#NAME?</v>
      </c>
      <c r="O32" s="2" t="e">
        <f ca="1">_xludf.XLOOKUP(C32,Customers!$A$4:$A$53,Customers!$E$4:$E$53,"Not found")</f>
        <v>#NAME?</v>
      </c>
      <c r="P32" s="2" t="e">
        <f ca="1">_xludf.XLOOKUP(C32,Customers!$A$4:$A$53,Customers!$F$4:$F$53,"Not found")</f>
        <v>#NAME?</v>
      </c>
      <c r="Q32" s="2" t="e">
        <f ca="1">_xludf.XLOOKUP(D32,Products!$A$4:$A$23,Products!$B$4:$B$23,"Not found")</f>
        <v>#NAME?</v>
      </c>
      <c r="R32" s="2" t="e">
        <f ca="1">_xludf.XLOOKUP(D32,Products!$A$4:$A$23,Products!$C$4:$C$23,"Not found")</f>
        <v>#NAME?</v>
      </c>
      <c r="S32" s="2" t="e">
        <f ca="1">_xludf.XLOOKUP(E32,Sales_Reps!$A$4:$A$11,Sales_Reps!$B$4:$B$11,"Not found")</f>
        <v>#NAME?</v>
      </c>
      <c r="T32" s="2" t="e">
        <f ca="1">_xludf.XLOOKUP(E32,Sales_Reps!$A$4:$A$11,Sales_Reps!$C$4:$C$11,"Not found")</f>
        <v>#NAME?</v>
      </c>
      <c r="U32" s="2"/>
      <c r="V32" s="2"/>
      <c r="W32" s="2"/>
      <c r="X32" s="2"/>
      <c r="Y32" s="2"/>
      <c r="Z32" s="2"/>
    </row>
    <row r="33" spans="1:26" ht="15">
      <c r="A33" s="2" t="s">
        <v>337</v>
      </c>
      <c r="B33" s="6">
        <v>46086</v>
      </c>
      <c r="C33" s="2" t="s">
        <v>180</v>
      </c>
      <c r="D33" s="2" t="s">
        <v>70</v>
      </c>
      <c r="E33" s="2" t="s">
        <v>294</v>
      </c>
      <c r="F33" s="2">
        <v>7</v>
      </c>
      <c r="G33" s="4">
        <v>1200</v>
      </c>
      <c r="H33" s="5">
        <v>0.15</v>
      </c>
      <c r="I33" s="4">
        <v>7140</v>
      </c>
      <c r="J33" s="4">
        <v>1999.2</v>
      </c>
      <c r="K33" s="2" t="s">
        <v>306</v>
      </c>
      <c r="L33" s="2" t="e">
        <f ca="1">_xludf.XLOOKUP(C33,Customers!$A$4:$A$53,Customers!$B$4:$B$53,"Not found")</f>
        <v>#NAME?</v>
      </c>
      <c r="M33" s="2" t="e">
        <f ca="1">_xludf.XLOOKUP(C33,Customers!$A$4:$A$53,Customers!$C$4:$C$53,"Not found")</f>
        <v>#NAME?</v>
      </c>
      <c r="N33" s="2" t="e">
        <f ca="1">_xludf.XLOOKUP(C33,Customers!$A$4:$A$53,Customers!$D$4:$D$53,"Not found")</f>
        <v>#NAME?</v>
      </c>
      <c r="O33" s="2" t="e">
        <f ca="1">_xludf.XLOOKUP(C33,Customers!$A$4:$A$53,Customers!$E$4:$E$53,"Not found")</f>
        <v>#NAME?</v>
      </c>
      <c r="P33" s="2" t="e">
        <f ca="1">_xludf.XLOOKUP(C33,Customers!$A$4:$A$53,Customers!$F$4:$F$53,"Not found")</f>
        <v>#NAME?</v>
      </c>
      <c r="Q33" s="2" t="e">
        <f ca="1">_xludf.XLOOKUP(D33,Products!$A$4:$A$23,Products!$B$4:$B$23,"Not found")</f>
        <v>#NAME?</v>
      </c>
      <c r="R33" s="2" t="e">
        <f ca="1">_xludf.XLOOKUP(D33,Products!$A$4:$A$23,Products!$C$4:$C$23,"Not found")</f>
        <v>#NAME?</v>
      </c>
      <c r="S33" s="2" t="e">
        <f ca="1">_xludf.XLOOKUP(E33,Sales_Reps!$A$4:$A$11,Sales_Reps!$B$4:$B$11,"Not found")</f>
        <v>#NAME?</v>
      </c>
      <c r="T33" s="2" t="e">
        <f ca="1">_xludf.XLOOKUP(E33,Sales_Reps!$A$4:$A$11,Sales_Reps!$C$4:$C$11,"Not found")</f>
        <v>#NAME?</v>
      </c>
      <c r="U33" s="2"/>
      <c r="V33" s="2"/>
      <c r="W33" s="2"/>
      <c r="X33" s="2"/>
      <c r="Y33" s="2"/>
      <c r="Z33" s="2"/>
    </row>
    <row r="34" spans="1:26">
      <c r="A34" s="2" t="s">
        <v>338</v>
      </c>
      <c r="B34" s="6">
        <v>46074</v>
      </c>
      <c r="C34" s="2" t="s">
        <v>143</v>
      </c>
      <c r="D34" s="2" t="s">
        <v>242</v>
      </c>
      <c r="E34" s="2" t="s">
        <v>290</v>
      </c>
      <c r="F34" s="2">
        <v>8</v>
      </c>
      <c r="G34" s="4">
        <v>70</v>
      </c>
      <c r="H34" s="5">
        <v>0</v>
      </c>
      <c r="I34" s="4">
        <v>560</v>
      </c>
      <c r="J34" s="4">
        <v>224</v>
      </c>
      <c r="K34" s="2" t="s">
        <v>309</v>
      </c>
      <c r="L34" s="2" t="e">
        <f ca="1">_xludf.XLOOKUP(C34,Customers!$A$4:$A$53,Customers!$B$4:$B$53,"Not found")</f>
        <v>#NAME?</v>
      </c>
      <c r="M34" s="2" t="e">
        <f ca="1">_xludf.XLOOKUP(C34,Customers!$A$4:$A$53,Customers!$C$4:$C$53,"Not found")</f>
        <v>#NAME?</v>
      </c>
      <c r="N34" s="2" t="e">
        <f ca="1">_xludf.XLOOKUP(C34,Customers!$A$4:$A$53,Customers!$D$4:$D$53,"Not found")</f>
        <v>#NAME?</v>
      </c>
      <c r="O34" s="2" t="e">
        <f ca="1">_xludf.XLOOKUP(C34,Customers!$A$4:$A$53,Customers!$E$4:$E$53,"Not found")</f>
        <v>#NAME?</v>
      </c>
      <c r="P34" s="2" t="e">
        <f ca="1">_xludf.XLOOKUP(C34,Customers!$A$4:$A$53,Customers!$F$4:$F$53,"Not found")</f>
        <v>#NAME?</v>
      </c>
      <c r="Q34" s="2" t="e">
        <f ca="1">_xludf.XLOOKUP(D34,Products!$A$4:$A$23,Products!$B$4:$B$23,"Not found")</f>
        <v>#NAME?</v>
      </c>
      <c r="R34" s="2" t="e">
        <f ca="1">_xludf.XLOOKUP(D34,Products!$A$4:$A$23,Products!$C$4:$C$23,"Not found")</f>
        <v>#NAME?</v>
      </c>
      <c r="S34" s="2" t="e">
        <f ca="1">_xludf.XLOOKUP(E34,Sales_Reps!$A$4:$A$11,Sales_Reps!$B$4:$B$11,"Not found")</f>
        <v>#NAME?</v>
      </c>
      <c r="T34" s="2" t="e">
        <f ca="1">_xludf.XLOOKUP(E34,Sales_Reps!$A$4:$A$11,Sales_Reps!$C$4:$C$11,"Not found")</f>
        <v>#NAME?</v>
      </c>
      <c r="U34" s="2"/>
      <c r="V34" s="2"/>
      <c r="W34" s="2"/>
      <c r="X34" s="2"/>
      <c r="Y34" s="2"/>
      <c r="Z34" s="2"/>
    </row>
    <row r="35" spans="1:26">
      <c r="A35" s="2" t="s">
        <v>339</v>
      </c>
      <c r="B35" s="6">
        <v>46072</v>
      </c>
      <c r="C35" s="2" t="s">
        <v>171</v>
      </c>
      <c r="D35" s="2" t="s">
        <v>257</v>
      </c>
      <c r="E35" s="2" t="s">
        <v>290</v>
      </c>
      <c r="F35" s="2">
        <v>4</v>
      </c>
      <c r="G35" s="4">
        <v>1200</v>
      </c>
      <c r="H35" s="5">
        <v>0</v>
      </c>
      <c r="I35" s="4">
        <v>4800</v>
      </c>
      <c r="J35" s="4">
        <v>2880</v>
      </c>
      <c r="K35" s="2" t="s">
        <v>309</v>
      </c>
      <c r="L35" s="2" t="e">
        <f ca="1">_xludf.XLOOKUP(C35,Customers!$A$4:$A$53,Customers!$B$4:$B$53,"Not found")</f>
        <v>#NAME?</v>
      </c>
      <c r="M35" s="2" t="e">
        <f ca="1">_xludf.XLOOKUP(C35,Customers!$A$4:$A$53,Customers!$C$4:$C$53,"Not found")</f>
        <v>#NAME?</v>
      </c>
      <c r="N35" s="2" t="e">
        <f ca="1">_xludf.XLOOKUP(C35,Customers!$A$4:$A$53,Customers!$D$4:$D$53,"Not found")</f>
        <v>#NAME?</v>
      </c>
      <c r="O35" s="2" t="e">
        <f ca="1">_xludf.XLOOKUP(C35,Customers!$A$4:$A$53,Customers!$E$4:$E$53,"Not found")</f>
        <v>#NAME?</v>
      </c>
      <c r="P35" s="2" t="e">
        <f ca="1">_xludf.XLOOKUP(C35,Customers!$A$4:$A$53,Customers!$F$4:$F$53,"Not found")</f>
        <v>#NAME?</v>
      </c>
      <c r="Q35" s="2" t="e">
        <f ca="1">_xludf.XLOOKUP(D35,Products!$A$4:$A$23,Products!$B$4:$B$23,"Not found")</f>
        <v>#NAME?</v>
      </c>
      <c r="R35" s="2" t="e">
        <f ca="1">_xludf.XLOOKUP(D35,Products!$A$4:$A$23,Products!$C$4:$C$23,"Not found")</f>
        <v>#NAME?</v>
      </c>
      <c r="S35" s="2" t="e">
        <f ca="1">_xludf.XLOOKUP(E35,Sales_Reps!$A$4:$A$11,Sales_Reps!$B$4:$B$11,"Not found")</f>
        <v>#NAME?</v>
      </c>
      <c r="T35" s="2" t="e">
        <f ca="1">_xludf.XLOOKUP(E35,Sales_Reps!$A$4:$A$11,Sales_Reps!$C$4:$C$11,"Not found")</f>
        <v>#NAME?</v>
      </c>
      <c r="U35" s="2"/>
      <c r="V35" s="2"/>
      <c r="W35" s="2"/>
      <c r="X35" s="2"/>
      <c r="Y35" s="2"/>
      <c r="Z35" s="2"/>
    </row>
    <row r="36" spans="1:26" ht="15">
      <c r="A36" s="2" t="s">
        <v>340</v>
      </c>
      <c r="B36" s="6">
        <v>46153</v>
      </c>
      <c r="C36" s="2" t="s">
        <v>169</v>
      </c>
      <c r="D36" s="2" t="s">
        <v>254</v>
      </c>
      <c r="E36" s="2" t="s">
        <v>292</v>
      </c>
      <c r="F36" s="2">
        <v>6</v>
      </c>
      <c r="G36" s="4">
        <v>3500</v>
      </c>
      <c r="H36" s="5">
        <v>0.15</v>
      </c>
      <c r="I36" s="4">
        <v>17850</v>
      </c>
      <c r="J36" s="4">
        <v>9817.5</v>
      </c>
      <c r="K36" s="2" t="s">
        <v>309</v>
      </c>
      <c r="L36" s="2" t="e">
        <f ca="1">_xludf.XLOOKUP(C36,Customers!$A$4:$A$53,Customers!$B$4:$B$53,"Not found")</f>
        <v>#NAME?</v>
      </c>
      <c r="M36" s="2" t="e">
        <f ca="1">_xludf.XLOOKUP(C36,Customers!$A$4:$A$53,Customers!$C$4:$C$53,"Not found")</f>
        <v>#NAME?</v>
      </c>
      <c r="N36" s="2" t="e">
        <f ca="1">_xludf.XLOOKUP(C36,Customers!$A$4:$A$53,Customers!$D$4:$D$53,"Not found")</f>
        <v>#NAME?</v>
      </c>
      <c r="O36" s="2" t="e">
        <f ca="1">_xludf.XLOOKUP(C36,Customers!$A$4:$A$53,Customers!$E$4:$E$53,"Not found")</f>
        <v>#NAME?</v>
      </c>
      <c r="P36" s="2" t="e">
        <f ca="1">_xludf.XLOOKUP(C36,Customers!$A$4:$A$53,Customers!$F$4:$F$53,"Not found")</f>
        <v>#NAME?</v>
      </c>
      <c r="Q36" s="2" t="e">
        <f ca="1">_xludf.XLOOKUP(D36,Products!$A$4:$A$23,Products!$B$4:$B$23,"Not found")</f>
        <v>#NAME?</v>
      </c>
      <c r="R36" s="2" t="e">
        <f ca="1">_xludf.XLOOKUP(D36,Products!$A$4:$A$23,Products!$C$4:$C$23,"Not found")</f>
        <v>#NAME?</v>
      </c>
      <c r="S36" s="2" t="e">
        <f ca="1">_xludf.XLOOKUP(E36,Sales_Reps!$A$4:$A$11,Sales_Reps!$B$4:$B$11,"Not found")</f>
        <v>#NAME?</v>
      </c>
      <c r="T36" s="2" t="e">
        <f ca="1">_xludf.XLOOKUP(E36,Sales_Reps!$A$4:$A$11,Sales_Reps!$C$4:$C$11,"Not found")</f>
        <v>#NAME?</v>
      </c>
      <c r="U36" s="2"/>
      <c r="V36" s="2"/>
      <c r="W36" s="2"/>
      <c r="X36" s="2"/>
      <c r="Y36" s="2"/>
      <c r="Z36" s="2"/>
    </row>
    <row r="37" spans="1:26">
      <c r="A37" s="2" t="s">
        <v>341</v>
      </c>
      <c r="B37" s="6">
        <v>46068</v>
      </c>
      <c r="C37" s="2" t="s">
        <v>217</v>
      </c>
      <c r="D37" s="2" t="s">
        <v>273</v>
      </c>
      <c r="E37" s="2" t="s">
        <v>290</v>
      </c>
      <c r="F37" s="2">
        <v>2</v>
      </c>
      <c r="G37" s="4">
        <v>350</v>
      </c>
      <c r="H37" s="5">
        <v>0</v>
      </c>
      <c r="I37" s="4">
        <v>700</v>
      </c>
      <c r="J37" s="4">
        <v>406</v>
      </c>
      <c r="K37" s="2" t="s">
        <v>313</v>
      </c>
      <c r="L37" s="2" t="e">
        <f ca="1">_xludf.XLOOKUP(C37,Customers!$A$4:$A$53,Customers!$B$4:$B$53,"Not found")</f>
        <v>#NAME?</v>
      </c>
      <c r="M37" s="2" t="e">
        <f ca="1">_xludf.XLOOKUP(C37,Customers!$A$4:$A$53,Customers!$C$4:$C$53,"Not found")</f>
        <v>#NAME?</v>
      </c>
      <c r="N37" s="2" t="e">
        <f ca="1">_xludf.XLOOKUP(C37,Customers!$A$4:$A$53,Customers!$D$4:$D$53,"Not found")</f>
        <v>#NAME?</v>
      </c>
      <c r="O37" s="2" t="e">
        <f ca="1">_xludf.XLOOKUP(C37,Customers!$A$4:$A$53,Customers!$E$4:$E$53,"Not found")</f>
        <v>#NAME?</v>
      </c>
      <c r="P37" s="2" t="e">
        <f ca="1">_xludf.XLOOKUP(C37,Customers!$A$4:$A$53,Customers!$F$4:$F$53,"Not found")</f>
        <v>#NAME?</v>
      </c>
      <c r="Q37" s="2" t="e">
        <f ca="1">_xludf.XLOOKUP(D37,Products!$A$4:$A$23,Products!$B$4:$B$23,"Not found")</f>
        <v>#NAME?</v>
      </c>
      <c r="R37" s="2" t="e">
        <f ca="1">_xludf.XLOOKUP(D37,Products!$A$4:$A$23,Products!$C$4:$C$23,"Not found")</f>
        <v>#NAME?</v>
      </c>
      <c r="S37" s="2" t="e">
        <f ca="1">_xludf.XLOOKUP(E37,Sales_Reps!$A$4:$A$11,Sales_Reps!$B$4:$B$11,"Not found")</f>
        <v>#NAME?</v>
      </c>
      <c r="T37" s="2" t="e">
        <f ca="1">_xludf.XLOOKUP(E37,Sales_Reps!$A$4:$A$11,Sales_Reps!$C$4:$C$11,"Not found")</f>
        <v>#NAME?</v>
      </c>
      <c r="U37" s="2"/>
      <c r="V37" s="2"/>
      <c r="W37" s="2"/>
      <c r="X37" s="2"/>
      <c r="Y37" s="2"/>
      <c r="Z37" s="2"/>
    </row>
    <row r="38" spans="1:26" ht="15">
      <c r="A38" s="2" t="s">
        <v>342</v>
      </c>
      <c r="B38" s="6">
        <v>46103</v>
      </c>
      <c r="C38" s="2" t="s">
        <v>158</v>
      </c>
      <c r="D38" s="2" t="s">
        <v>238</v>
      </c>
      <c r="E38" s="2" t="s">
        <v>292</v>
      </c>
      <c r="F38" s="2">
        <v>6</v>
      </c>
      <c r="G38" s="4">
        <v>1800</v>
      </c>
      <c r="H38" s="5">
        <v>0.15</v>
      </c>
      <c r="I38" s="4">
        <v>9180</v>
      </c>
      <c r="J38" s="4">
        <v>2295</v>
      </c>
      <c r="K38" s="2" t="s">
        <v>309</v>
      </c>
      <c r="L38" s="2" t="e">
        <f ca="1">_xludf.XLOOKUP(C38,Customers!$A$4:$A$53,Customers!$B$4:$B$53,"Not found")</f>
        <v>#NAME?</v>
      </c>
      <c r="M38" s="2" t="e">
        <f ca="1">_xludf.XLOOKUP(C38,Customers!$A$4:$A$53,Customers!$C$4:$C$53,"Not found")</f>
        <v>#NAME?</v>
      </c>
      <c r="N38" s="2" t="e">
        <f ca="1">_xludf.XLOOKUP(C38,Customers!$A$4:$A$53,Customers!$D$4:$D$53,"Not found")</f>
        <v>#NAME?</v>
      </c>
      <c r="O38" s="2" t="e">
        <f ca="1">_xludf.XLOOKUP(C38,Customers!$A$4:$A$53,Customers!$E$4:$E$53,"Not found")</f>
        <v>#NAME?</v>
      </c>
      <c r="P38" s="2" t="e">
        <f ca="1">_xludf.XLOOKUP(C38,Customers!$A$4:$A$53,Customers!$F$4:$F$53,"Not found")</f>
        <v>#NAME?</v>
      </c>
      <c r="Q38" s="2" t="e">
        <f ca="1">_xludf.XLOOKUP(D38,Products!$A$4:$A$23,Products!$B$4:$B$23,"Not found")</f>
        <v>#NAME?</v>
      </c>
      <c r="R38" s="2" t="e">
        <f ca="1">_xludf.XLOOKUP(D38,Products!$A$4:$A$23,Products!$C$4:$C$23,"Not found")</f>
        <v>#NAME?</v>
      </c>
      <c r="S38" s="2" t="e">
        <f ca="1">_xludf.XLOOKUP(E38,Sales_Reps!$A$4:$A$11,Sales_Reps!$B$4:$B$11,"Not found")</f>
        <v>#NAME?</v>
      </c>
      <c r="T38" s="2" t="e">
        <f ca="1">_xludf.XLOOKUP(E38,Sales_Reps!$A$4:$A$11,Sales_Reps!$C$4:$C$11,"Not found")</f>
        <v>#NAME?</v>
      </c>
      <c r="U38" s="2"/>
      <c r="V38" s="2"/>
      <c r="W38" s="2"/>
      <c r="X38" s="2"/>
      <c r="Y38" s="2"/>
      <c r="Z38" s="2"/>
    </row>
    <row r="39" spans="1:26" ht="15">
      <c r="A39" s="2" t="s">
        <v>343</v>
      </c>
      <c r="B39" s="6">
        <v>46134</v>
      </c>
      <c r="C39" s="2" t="s">
        <v>206</v>
      </c>
      <c r="D39" s="2" t="s">
        <v>271</v>
      </c>
      <c r="E39" s="2" t="s">
        <v>287</v>
      </c>
      <c r="F39" s="2">
        <v>5</v>
      </c>
      <c r="G39" s="4">
        <v>2800</v>
      </c>
      <c r="H39" s="5">
        <v>0</v>
      </c>
      <c r="I39" s="4">
        <v>14000</v>
      </c>
      <c r="J39" s="4">
        <v>7280</v>
      </c>
      <c r="K39" s="2" t="s">
        <v>306</v>
      </c>
      <c r="L39" s="2" t="e">
        <f ca="1">_xludf.XLOOKUP(C39,Customers!$A$4:$A$53,Customers!$B$4:$B$53,"Not found")</f>
        <v>#NAME?</v>
      </c>
      <c r="M39" s="2" t="e">
        <f ca="1">_xludf.XLOOKUP(C39,Customers!$A$4:$A$53,Customers!$C$4:$C$53,"Not found")</f>
        <v>#NAME?</v>
      </c>
      <c r="N39" s="2" t="e">
        <f ca="1">_xludf.XLOOKUP(C39,Customers!$A$4:$A$53,Customers!$D$4:$D$53,"Not found")</f>
        <v>#NAME?</v>
      </c>
      <c r="O39" s="2" t="e">
        <f ca="1">_xludf.XLOOKUP(C39,Customers!$A$4:$A$53,Customers!$E$4:$E$53,"Not found")</f>
        <v>#NAME?</v>
      </c>
      <c r="P39" s="2" t="e">
        <f ca="1">_xludf.XLOOKUP(C39,Customers!$A$4:$A$53,Customers!$F$4:$F$53,"Not found")</f>
        <v>#NAME?</v>
      </c>
      <c r="Q39" s="2" t="e">
        <f ca="1">_xludf.XLOOKUP(D39,Products!$A$4:$A$23,Products!$B$4:$B$23,"Not found")</f>
        <v>#NAME?</v>
      </c>
      <c r="R39" s="2" t="e">
        <f ca="1">_xludf.XLOOKUP(D39,Products!$A$4:$A$23,Products!$C$4:$C$23,"Not found")</f>
        <v>#NAME?</v>
      </c>
      <c r="S39" s="2" t="e">
        <f ca="1">_xludf.XLOOKUP(E39,Sales_Reps!$A$4:$A$11,Sales_Reps!$B$4:$B$11,"Not found")</f>
        <v>#NAME?</v>
      </c>
      <c r="T39" s="2" t="e">
        <f ca="1">_xludf.XLOOKUP(E39,Sales_Reps!$A$4:$A$11,Sales_Reps!$C$4:$C$11,"Not found")</f>
        <v>#NAME?</v>
      </c>
      <c r="U39" s="2"/>
      <c r="V39" s="2"/>
      <c r="W39" s="2"/>
      <c r="X39" s="2"/>
      <c r="Y39" s="2"/>
      <c r="Z39" s="2"/>
    </row>
    <row r="40" spans="1:26">
      <c r="A40" s="2" t="s">
        <v>344</v>
      </c>
      <c r="B40" s="6">
        <v>46040</v>
      </c>
      <c r="C40" s="2" t="s">
        <v>195</v>
      </c>
      <c r="D40" s="2" t="s">
        <v>273</v>
      </c>
      <c r="E40" s="2" t="s">
        <v>287</v>
      </c>
      <c r="F40" s="2">
        <v>6</v>
      </c>
      <c r="G40" s="4">
        <v>350</v>
      </c>
      <c r="H40" s="5">
        <v>0.05</v>
      </c>
      <c r="I40" s="4">
        <v>1995</v>
      </c>
      <c r="J40" s="4">
        <v>1157.0999999999999</v>
      </c>
      <c r="K40" s="2" t="s">
        <v>306</v>
      </c>
      <c r="L40" s="2" t="e">
        <f ca="1">_xludf.XLOOKUP(C40,Customers!$A$4:$A$53,Customers!$B$4:$B$53,"Not found")</f>
        <v>#NAME?</v>
      </c>
      <c r="M40" s="2" t="e">
        <f ca="1">_xludf.XLOOKUP(C40,Customers!$A$4:$A$53,Customers!$C$4:$C$53,"Not found")</f>
        <v>#NAME?</v>
      </c>
      <c r="N40" s="2" t="e">
        <f ca="1">_xludf.XLOOKUP(C40,Customers!$A$4:$A$53,Customers!$D$4:$D$53,"Not found")</f>
        <v>#NAME?</v>
      </c>
      <c r="O40" s="2" t="e">
        <f ca="1">_xludf.XLOOKUP(C40,Customers!$A$4:$A$53,Customers!$E$4:$E$53,"Not found")</f>
        <v>#NAME?</v>
      </c>
      <c r="P40" s="2" t="e">
        <f ca="1">_xludf.XLOOKUP(C40,Customers!$A$4:$A$53,Customers!$F$4:$F$53,"Not found")</f>
        <v>#NAME?</v>
      </c>
      <c r="Q40" s="2" t="e">
        <f ca="1">_xludf.XLOOKUP(D40,Products!$A$4:$A$23,Products!$B$4:$B$23,"Not found")</f>
        <v>#NAME?</v>
      </c>
      <c r="R40" s="2" t="e">
        <f ca="1">_xludf.XLOOKUP(D40,Products!$A$4:$A$23,Products!$C$4:$C$23,"Not found")</f>
        <v>#NAME?</v>
      </c>
      <c r="S40" s="2" t="e">
        <f ca="1">_xludf.XLOOKUP(E40,Sales_Reps!$A$4:$A$11,Sales_Reps!$B$4:$B$11,"Not found")</f>
        <v>#NAME?</v>
      </c>
      <c r="T40" s="2" t="e">
        <f ca="1">_xludf.XLOOKUP(E40,Sales_Reps!$A$4:$A$11,Sales_Reps!$C$4:$C$11,"Not found")</f>
        <v>#NAME?</v>
      </c>
      <c r="U40" s="2"/>
      <c r="V40" s="2"/>
      <c r="W40" s="2"/>
      <c r="X40" s="2"/>
      <c r="Y40" s="2"/>
      <c r="Z40" s="2"/>
    </row>
    <row r="41" spans="1:26">
      <c r="A41" s="2" t="s">
        <v>345</v>
      </c>
      <c r="B41" s="6">
        <v>46102</v>
      </c>
      <c r="C41" s="2" t="s">
        <v>208</v>
      </c>
      <c r="D41" s="2" t="s">
        <v>259</v>
      </c>
      <c r="E41" s="2" t="s">
        <v>75</v>
      </c>
      <c r="F41" s="2">
        <v>5</v>
      </c>
      <c r="G41" s="4">
        <v>450</v>
      </c>
      <c r="H41" s="5">
        <v>0.1</v>
      </c>
      <c r="I41" s="4">
        <v>2025</v>
      </c>
      <c r="J41" s="4">
        <v>1255.5</v>
      </c>
      <c r="K41" s="2" t="s">
        <v>309</v>
      </c>
      <c r="L41" s="2" t="e">
        <f ca="1">_xludf.XLOOKUP(C41,Customers!$A$4:$A$53,Customers!$B$4:$B$53,"Not found")</f>
        <v>#NAME?</v>
      </c>
      <c r="M41" s="2" t="e">
        <f ca="1">_xludf.XLOOKUP(C41,Customers!$A$4:$A$53,Customers!$C$4:$C$53,"Not found")</f>
        <v>#NAME?</v>
      </c>
      <c r="N41" s="2" t="e">
        <f ca="1">_xludf.XLOOKUP(C41,Customers!$A$4:$A$53,Customers!$D$4:$D$53,"Not found")</f>
        <v>#NAME?</v>
      </c>
      <c r="O41" s="2" t="e">
        <f ca="1">_xludf.XLOOKUP(C41,Customers!$A$4:$A$53,Customers!$E$4:$E$53,"Not found")</f>
        <v>#NAME?</v>
      </c>
      <c r="P41" s="2" t="e">
        <f ca="1">_xludf.XLOOKUP(C41,Customers!$A$4:$A$53,Customers!$F$4:$F$53,"Not found")</f>
        <v>#NAME?</v>
      </c>
      <c r="Q41" s="2" t="e">
        <f ca="1">_xludf.XLOOKUP(D41,Products!$A$4:$A$23,Products!$B$4:$B$23,"Not found")</f>
        <v>#NAME?</v>
      </c>
      <c r="R41" s="2" t="e">
        <f ca="1">_xludf.XLOOKUP(D41,Products!$A$4:$A$23,Products!$C$4:$C$23,"Not found")</f>
        <v>#NAME?</v>
      </c>
      <c r="S41" s="2" t="e">
        <f ca="1">_xludf.XLOOKUP(E41,Sales_Reps!$A$4:$A$11,Sales_Reps!$B$4:$B$11,"Not found")</f>
        <v>#NAME?</v>
      </c>
      <c r="T41" s="2" t="e">
        <f ca="1">_xludf.XLOOKUP(E41,Sales_Reps!$A$4:$A$11,Sales_Reps!$C$4:$C$11,"Not found")</f>
        <v>#NAME?</v>
      </c>
      <c r="U41" s="2"/>
      <c r="V41" s="2"/>
      <c r="W41" s="2"/>
      <c r="X41" s="2"/>
      <c r="Y41" s="2"/>
      <c r="Z41" s="2"/>
    </row>
    <row r="42" spans="1:26">
      <c r="A42" s="2" t="s">
        <v>346</v>
      </c>
      <c r="B42" s="6">
        <v>46120</v>
      </c>
      <c r="C42" s="2" t="s">
        <v>167</v>
      </c>
      <c r="D42" s="2" t="s">
        <v>263</v>
      </c>
      <c r="E42" s="2" t="s">
        <v>290</v>
      </c>
      <c r="F42" s="2">
        <v>4</v>
      </c>
      <c r="G42" s="4">
        <v>800</v>
      </c>
      <c r="H42" s="5">
        <v>0.05</v>
      </c>
      <c r="I42" s="4">
        <v>3040</v>
      </c>
      <c r="J42" s="4">
        <v>820.8</v>
      </c>
      <c r="K42" s="2" t="s">
        <v>306</v>
      </c>
      <c r="L42" s="2" t="e">
        <f ca="1">_xludf.XLOOKUP(C42,Customers!$A$4:$A$53,Customers!$B$4:$B$53,"Not found")</f>
        <v>#NAME?</v>
      </c>
      <c r="M42" s="2" t="e">
        <f ca="1">_xludf.XLOOKUP(C42,Customers!$A$4:$A$53,Customers!$C$4:$C$53,"Not found")</f>
        <v>#NAME?</v>
      </c>
      <c r="N42" s="2" t="e">
        <f ca="1">_xludf.XLOOKUP(C42,Customers!$A$4:$A$53,Customers!$D$4:$D$53,"Not found")</f>
        <v>#NAME?</v>
      </c>
      <c r="O42" s="2" t="e">
        <f ca="1">_xludf.XLOOKUP(C42,Customers!$A$4:$A$53,Customers!$E$4:$E$53,"Not found")</f>
        <v>#NAME?</v>
      </c>
      <c r="P42" s="2" t="e">
        <f ca="1">_xludf.XLOOKUP(C42,Customers!$A$4:$A$53,Customers!$F$4:$F$53,"Not found")</f>
        <v>#NAME?</v>
      </c>
      <c r="Q42" s="2" t="e">
        <f ca="1">_xludf.XLOOKUP(D42,Products!$A$4:$A$23,Products!$B$4:$B$23,"Not found")</f>
        <v>#NAME?</v>
      </c>
      <c r="R42" s="2" t="e">
        <f ca="1">_xludf.XLOOKUP(D42,Products!$A$4:$A$23,Products!$C$4:$C$23,"Not found")</f>
        <v>#NAME?</v>
      </c>
      <c r="S42" s="2" t="e">
        <f ca="1">_xludf.XLOOKUP(E42,Sales_Reps!$A$4:$A$11,Sales_Reps!$B$4:$B$11,"Not found")</f>
        <v>#NAME?</v>
      </c>
      <c r="T42" s="2" t="e">
        <f ca="1">_xludf.XLOOKUP(E42,Sales_Reps!$A$4:$A$11,Sales_Reps!$C$4:$C$11,"Not found")</f>
        <v>#NAME?</v>
      </c>
      <c r="U42" s="2"/>
      <c r="V42" s="2"/>
      <c r="W42" s="2"/>
      <c r="X42" s="2"/>
      <c r="Y42" s="2"/>
      <c r="Z42" s="2"/>
    </row>
    <row r="43" spans="1:26">
      <c r="A43" s="2" t="s">
        <v>347</v>
      </c>
      <c r="B43" s="6">
        <v>46076</v>
      </c>
      <c r="C43" s="2" t="s">
        <v>208</v>
      </c>
      <c r="D43" s="2" t="s">
        <v>275</v>
      </c>
      <c r="E43" s="2" t="s">
        <v>75</v>
      </c>
      <c r="F43" s="2">
        <v>5</v>
      </c>
      <c r="G43" s="4">
        <v>450</v>
      </c>
      <c r="H43" s="5">
        <v>0</v>
      </c>
      <c r="I43" s="4">
        <v>2250</v>
      </c>
      <c r="J43" s="4">
        <v>495</v>
      </c>
      <c r="K43" s="2" t="s">
        <v>309</v>
      </c>
      <c r="L43" s="2" t="e">
        <f ca="1">_xludf.XLOOKUP(C43,Customers!$A$4:$A$53,Customers!$B$4:$B$53,"Not found")</f>
        <v>#NAME?</v>
      </c>
      <c r="M43" s="2" t="e">
        <f ca="1">_xludf.XLOOKUP(C43,Customers!$A$4:$A$53,Customers!$C$4:$C$53,"Not found")</f>
        <v>#NAME?</v>
      </c>
      <c r="N43" s="2" t="e">
        <f ca="1">_xludf.XLOOKUP(C43,Customers!$A$4:$A$53,Customers!$D$4:$D$53,"Not found")</f>
        <v>#NAME?</v>
      </c>
      <c r="O43" s="2" t="e">
        <f ca="1">_xludf.XLOOKUP(C43,Customers!$A$4:$A$53,Customers!$E$4:$E$53,"Not found")</f>
        <v>#NAME?</v>
      </c>
      <c r="P43" s="2" t="e">
        <f ca="1">_xludf.XLOOKUP(C43,Customers!$A$4:$A$53,Customers!$F$4:$F$53,"Not found")</f>
        <v>#NAME?</v>
      </c>
      <c r="Q43" s="2" t="e">
        <f ca="1">_xludf.XLOOKUP(D43,Products!$A$4:$A$23,Products!$B$4:$B$23,"Not found")</f>
        <v>#NAME?</v>
      </c>
      <c r="R43" s="2" t="e">
        <f ca="1">_xludf.XLOOKUP(D43,Products!$A$4:$A$23,Products!$C$4:$C$23,"Not found")</f>
        <v>#NAME?</v>
      </c>
      <c r="S43" s="2" t="e">
        <f ca="1">_xludf.XLOOKUP(E43,Sales_Reps!$A$4:$A$11,Sales_Reps!$B$4:$B$11,"Not found")</f>
        <v>#NAME?</v>
      </c>
      <c r="T43" s="2" t="e">
        <f ca="1">_xludf.XLOOKUP(E43,Sales_Reps!$A$4:$A$11,Sales_Reps!$C$4:$C$11,"Not found")</f>
        <v>#NAME?</v>
      </c>
      <c r="U43" s="2"/>
      <c r="V43" s="2"/>
      <c r="W43" s="2"/>
      <c r="X43" s="2"/>
      <c r="Y43" s="2"/>
      <c r="Z43" s="2"/>
    </row>
    <row r="44" spans="1:26" ht="15">
      <c r="A44" s="2" t="s">
        <v>348</v>
      </c>
      <c r="B44" s="6">
        <v>46077</v>
      </c>
      <c r="C44" s="2" t="s">
        <v>204</v>
      </c>
      <c r="D44" s="2" t="s">
        <v>277</v>
      </c>
      <c r="E44" s="2" t="s">
        <v>292</v>
      </c>
      <c r="F44" s="2">
        <v>8</v>
      </c>
      <c r="G44" s="4">
        <v>900</v>
      </c>
      <c r="H44" s="5">
        <v>0.05</v>
      </c>
      <c r="I44" s="4">
        <v>6840</v>
      </c>
      <c r="J44" s="4">
        <v>1778.4</v>
      </c>
      <c r="K44" s="2" t="s">
        <v>313</v>
      </c>
      <c r="L44" s="2" t="e">
        <f ca="1">_xludf.XLOOKUP(C44,Customers!$A$4:$A$53,Customers!$B$4:$B$53,"Not found")</f>
        <v>#NAME?</v>
      </c>
      <c r="M44" s="2" t="e">
        <f ca="1">_xludf.XLOOKUP(C44,Customers!$A$4:$A$53,Customers!$C$4:$C$53,"Not found")</f>
        <v>#NAME?</v>
      </c>
      <c r="N44" s="2" t="e">
        <f ca="1">_xludf.XLOOKUP(C44,Customers!$A$4:$A$53,Customers!$D$4:$D$53,"Not found")</f>
        <v>#NAME?</v>
      </c>
      <c r="O44" s="2" t="e">
        <f ca="1">_xludf.XLOOKUP(C44,Customers!$A$4:$A$53,Customers!$E$4:$E$53,"Not found")</f>
        <v>#NAME?</v>
      </c>
      <c r="P44" s="2" t="e">
        <f ca="1">_xludf.XLOOKUP(C44,Customers!$A$4:$A$53,Customers!$F$4:$F$53,"Not found")</f>
        <v>#NAME?</v>
      </c>
      <c r="Q44" s="2" t="e">
        <f ca="1">_xludf.XLOOKUP(D44,Products!$A$4:$A$23,Products!$B$4:$B$23,"Not found")</f>
        <v>#NAME?</v>
      </c>
      <c r="R44" s="2" t="e">
        <f ca="1">_xludf.XLOOKUP(D44,Products!$A$4:$A$23,Products!$C$4:$C$23,"Not found")</f>
        <v>#NAME?</v>
      </c>
      <c r="S44" s="2" t="e">
        <f ca="1">_xludf.XLOOKUP(E44,Sales_Reps!$A$4:$A$11,Sales_Reps!$B$4:$B$11,"Not found")</f>
        <v>#NAME?</v>
      </c>
      <c r="T44" s="2" t="e">
        <f ca="1">_xludf.XLOOKUP(E44,Sales_Reps!$A$4:$A$11,Sales_Reps!$C$4:$C$11,"Not found")</f>
        <v>#NAME?</v>
      </c>
      <c r="U44" s="2"/>
      <c r="V44" s="2"/>
      <c r="W44" s="2"/>
      <c r="X44" s="2"/>
      <c r="Y44" s="2"/>
      <c r="Z44" s="2"/>
    </row>
    <row r="45" spans="1:26">
      <c r="A45" s="2" t="s">
        <v>349</v>
      </c>
      <c r="B45" s="6">
        <v>46083</v>
      </c>
      <c r="C45" s="2" t="s">
        <v>189</v>
      </c>
      <c r="D45" s="2" t="s">
        <v>247</v>
      </c>
      <c r="E45" s="2" t="s">
        <v>296</v>
      </c>
      <c r="F45" s="2">
        <v>6</v>
      </c>
      <c r="G45" s="4">
        <v>250</v>
      </c>
      <c r="H45" s="5">
        <v>0</v>
      </c>
      <c r="I45" s="4">
        <v>1500</v>
      </c>
      <c r="J45" s="4">
        <v>525</v>
      </c>
      <c r="K45" s="2" t="s">
        <v>306</v>
      </c>
      <c r="L45" s="2" t="e">
        <f ca="1">_xludf.XLOOKUP(C45,Customers!$A$4:$A$53,Customers!$B$4:$B$53,"Not found")</f>
        <v>#NAME?</v>
      </c>
      <c r="M45" s="2" t="e">
        <f ca="1">_xludf.XLOOKUP(C45,Customers!$A$4:$A$53,Customers!$C$4:$C$53,"Not found")</f>
        <v>#NAME?</v>
      </c>
      <c r="N45" s="2" t="e">
        <f ca="1">_xludf.XLOOKUP(C45,Customers!$A$4:$A$53,Customers!$D$4:$D$53,"Not found")</f>
        <v>#NAME?</v>
      </c>
      <c r="O45" s="2" t="e">
        <f ca="1">_xludf.XLOOKUP(C45,Customers!$A$4:$A$53,Customers!$E$4:$E$53,"Not found")</f>
        <v>#NAME?</v>
      </c>
      <c r="P45" s="2" t="e">
        <f ca="1">_xludf.XLOOKUP(C45,Customers!$A$4:$A$53,Customers!$F$4:$F$53,"Not found")</f>
        <v>#NAME?</v>
      </c>
      <c r="Q45" s="2" t="e">
        <f ca="1">_xludf.XLOOKUP(D45,Products!$A$4:$A$23,Products!$B$4:$B$23,"Not found")</f>
        <v>#NAME?</v>
      </c>
      <c r="R45" s="2" t="e">
        <f ca="1">_xludf.XLOOKUP(D45,Products!$A$4:$A$23,Products!$C$4:$C$23,"Not found")</f>
        <v>#NAME?</v>
      </c>
      <c r="S45" s="2" t="e">
        <f ca="1">_xludf.XLOOKUP(E45,Sales_Reps!$A$4:$A$11,Sales_Reps!$B$4:$B$11,"Not found")</f>
        <v>#NAME?</v>
      </c>
      <c r="T45" s="2" t="e">
        <f ca="1">_xludf.XLOOKUP(E45,Sales_Reps!$A$4:$A$11,Sales_Reps!$C$4:$C$11,"Not found")</f>
        <v>#NAME?</v>
      </c>
      <c r="U45" s="2"/>
      <c r="V45" s="2"/>
      <c r="W45" s="2"/>
      <c r="X45" s="2"/>
      <c r="Y45" s="2"/>
      <c r="Z45" s="2"/>
    </row>
    <row r="46" spans="1:26">
      <c r="A46" s="2" t="s">
        <v>350</v>
      </c>
      <c r="B46" s="6">
        <v>46041</v>
      </c>
      <c r="C46" s="2" t="s">
        <v>154</v>
      </c>
      <c r="D46" s="2" t="s">
        <v>249</v>
      </c>
      <c r="E46" s="2" t="s">
        <v>75</v>
      </c>
      <c r="F46" s="2">
        <v>4</v>
      </c>
      <c r="G46" s="4">
        <v>600</v>
      </c>
      <c r="H46" s="5">
        <v>0.05</v>
      </c>
      <c r="I46" s="4">
        <v>2280</v>
      </c>
      <c r="J46" s="4">
        <v>1482</v>
      </c>
      <c r="K46" s="2" t="s">
        <v>309</v>
      </c>
      <c r="L46" s="2" t="e">
        <f ca="1">_xludf.XLOOKUP(C46,Customers!$A$4:$A$53,Customers!$B$4:$B$53,"Not found")</f>
        <v>#NAME?</v>
      </c>
      <c r="M46" s="2" t="e">
        <f ca="1">_xludf.XLOOKUP(C46,Customers!$A$4:$A$53,Customers!$C$4:$C$53,"Not found")</f>
        <v>#NAME?</v>
      </c>
      <c r="N46" s="2" t="e">
        <f ca="1">_xludf.XLOOKUP(C46,Customers!$A$4:$A$53,Customers!$D$4:$D$53,"Not found")</f>
        <v>#NAME?</v>
      </c>
      <c r="O46" s="2" t="e">
        <f ca="1">_xludf.XLOOKUP(C46,Customers!$A$4:$A$53,Customers!$E$4:$E$53,"Not found")</f>
        <v>#NAME?</v>
      </c>
      <c r="P46" s="2" t="e">
        <f ca="1">_xludf.XLOOKUP(C46,Customers!$A$4:$A$53,Customers!$F$4:$F$53,"Not found")</f>
        <v>#NAME?</v>
      </c>
      <c r="Q46" s="2" t="e">
        <f ca="1">_xludf.XLOOKUP(D46,Products!$A$4:$A$23,Products!$B$4:$B$23,"Not found")</f>
        <v>#NAME?</v>
      </c>
      <c r="R46" s="2" t="e">
        <f ca="1">_xludf.XLOOKUP(D46,Products!$A$4:$A$23,Products!$C$4:$C$23,"Not found")</f>
        <v>#NAME?</v>
      </c>
      <c r="S46" s="2" t="e">
        <f ca="1">_xludf.XLOOKUP(E46,Sales_Reps!$A$4:$A$11,Sales_Reps!$B$4:$B$11,"Not found")</f>
        <v>#NAME?</v>
      </c>
      <c r="T46" s="2" t="e">
        <f ca="1">_xludf.XLOOKUP(E46,Sales_Reps!$A$4:$A$11,Sales_Reps!$C$4:$C$11,"Not found")</f>
        <v>#NAME?</v>
      </c>
      <c r="U46" s="2"/>
      <c r="V46" s="2"/>
      <c r="W46" s="2"/>
      <c r="X46" s="2"/>
      <c r="Y46" s="2"/>
      <c r="Z46" s="2"/>
    </row>
    <row r="47" spans="1:26">
      <c r="A47" s="2" t="s">
        <v>351</v>
      </c>
      <c r="B47" s="6">
        <v>46085</v>
      </c>
      <c r="C47" s="2" t="s">
        <v>180</v>
      </c>
      <c r="D47" s="2" t="s">
        <v>275</v>
      </c>
      <c r="E47" s="2" t="s">
        <v>294</v>
      </c>
      <c r="F47" s="2">
        <v>8</v>
      </c>
      <c r="G47" s="4">
        <v>450</v>
      </c>
      <c r="H47" s="5">
        <v>0.05</v>
      </c>
      <c r="I47" s="4">
        <v>3420</v>
      </c>
      <c r="J47" s="4">
        <v>752.4</v>
      </c>
      <c r="K47" s="2" t="s">
        <v>306</v>
      </c>
      <c r="L47" s="2" t="e">
        <f ca="1">_xludf.XLOOKUP(C47,Customers!$A$4:$A$53,Customers!$B$4:$B$53,"Not found")</f>
        <v>#NAME?</v>
      </c>
      <c r="M47" s="2" t="e">
        <f ca="1">_xludf.XLOOKUP(C47,Customers!$A$4:$A$53,Customers!$C$4:$C$53,"Not found")</f>
        <v>#NAME?</v>
      </c>
      <c r="N47" s="2" t="e">
        <f ca="1">_xludf.XLOOKUP(C47,Customers!$A$4:$A$53,Customers!$D$4:$D$53,"Not found")</f>
        <v>#NAME?</v>
      </c>
      <c r="O47" s="2" t="e">
        <f ca="1">_xludf.XLOOKUP(C47,Customers!$A$4:$A$53,Customers!$E$4:$E$53,"Not found")</f>
        <v>#NAME?</v>
      </c>
      <c r="P47" s="2" t="e">
        <f ca="1">_xludf.XLOOKUP(C47,Customers!$A$4:$A$53,Customers!$F$4:$F$53,"Not found")</f>
        <v>#NAME?</v>
      </c>
      <c r="Q47" s="2" t="e">
        <f ca="1">_xludf.XLOOKUP(D47,Products!$A$4:$A$23,Products!$B$4:$B$23,"Not found")</f>
        <v>#NAME?</v>
      </c>
      <c r="R47" s="2" t="e">
        <f ca="1">_xludf.XLOOKUP(D47,Products!$A$4:$A$23,Products!$C$4:$C$23,"Not found")</f>
        <v>#NAME?</v>
      </c>
      <c r="S47" s="2" t="e">
        <f ca="1">_xludf.XLOOKUP(E47,Sales_Reps!$A$4:$A$11,Sales_Reps!$B$4:$B$11,"Not found")</f>
        <v>#NAME?</v>
      </c>
      <c r="T47" s="2" t="e">
        <f ca="1">_xludf.XLOOKUP(E47,Sales_Reps!$A$4:$A$11,Sales_Reps!$C$4:$C$11,"Not found")</f>
        <v>#NAME?</v>
      </c>
      <c r="U47" s="2"/>
      <c r="V47" s="2"/>
      <c r="W47" s="2"/>
      <c r="X47" s="2"/>
      <c r="Y47" s="2"/>
      <c r="Z47" s="2"/>
    </row>
    <row r="48" spans="1:26" ht="15">
      <c r="A48" s="2" t="s">
        <v>352</v>
      </c>
      <c r="B48" s="6">
        <v>46068</v>
      </c>
      <c r="C48" s="2" t="s">
        <v>212</v>
      </c>
      <c r="D48" s="2" t="s">
        <v>70</v>
      </c>
      <c r="E48" s="2" t="s">
        <v>284</v>
      </c>
      <c r="F48" s="2">
        <v>7</v>
      </c>
      <c r="G48" s="4">
        <v>1200</v>
      </c>
      <c r="H48" s="5">
        <v>0</v>
      </c>
      <c r="I48" s="4">
        <v>8400</v>
      </c>
      <c r="J48" s="4">
        <v>2352</v>
      </c>
      <c r="K48" s="2" t="s">
        <v>313</v>
      </c>
      <c r="L48" s="2" t="e">
        <f ca="1">_xludf.XLOOKUP(C48,Customers!$A$4:$A$53,Customers!$B$4:$B$53,"Not found")</f>
        <v>#NAME?</v>
      </c>
      <c r="M48" s="2" t="e">
        <f ca="1">_xludf.XLOOKUP(C48,Customers!$A$4:$A$53,Customers!$C$4:$C$53,"Not found")</f>
        <v>#NAME?</v>
      </c>
      <c r="N48" s="2" t="e">
        <f ca="1">_xludf.XLOOKUP(C48,Customers!$A$4:$A$53,Customers!$D$4:$D$53,"Not found")</f>
        <v>#NAME?</v>
      </c>
      <c r="O48" s="2" t="e">
        <f ca="1">_xludf.XLOOKUP(C48,Customers!$A$4:$A$53,Customers!$E$4:$E$53,"Not found")</f>
        <v>#NAME?</v>
      </c>
      <c r="P48" s="2" t="e">
        <f ca="1">_xludf.XLOOKUP(C48,Customers!$A$4:$A$53,Customers!$F$4:$F$53,"Not found")</f>
        <v>#NAME?</v>
      </c>
      <c r="Q48" s="2" t="e">
        <f ca="1">_xludf.XLOOKUP(D48,Products!$A$4:$A$23,Products!$B$4:$B$23,"Not found")</f>
        <v>#NAME?</v>
      </c>
      <c r="R48" s="2" t="e">
        <f ca="1">_xludf.XLOOKUP(D48,Products!$A$4:$A$23,Products!$C$4:$C$23,"Not found")</f>
        <v>#NAME?</v>
      </c>
      <c r="S48" s="2" t="e">
        <f ca="1">_xludf.XLOOKUP(E48,Sales_Reps!$A$4:$A$11,Sales_Reps!$B$4:$B$11,"Not found")</f>
        <v>#NAME?</v>
      </c>
      <c r="T48" s="2" t="e">
        <f ca="1">_xludf.XLOOKUP(E48,Sales_Reps!$A$4:$A$11,Sales_Reps!$C$4:$C$11,"Not found")</f>
        <v>#NAME?</v>
      </c>
      <c r="U48" s="2"/>
      <c r="V48" s="2"/>
      <c r="W48" s="2"/>
      <c r="X48" s="2"/>
      <c r="Y48" s="2"/>
      <c r="Z48" s="2"/>
    </row>
    <row r="49" spans="1:26" ht="15">
      <c r="A49" s="2" t="s">
        <v>353</v>
      </c>
      <c r="B49" s="6">
        <v>46141</v>
      </c>
      <c r="C49" s="2" t="s">
        <v>186</v>
      </c>
      <c r="D49" s="2" t="s">
        <v>238</v>
      </c>
      <c r="E49" s="2" t="s">
        <v>287</v>
      </c>
      <c r="F49" s="2">
        <v>8</v>
      </c>
      <c r="G49" s="4">
        <v>1800</v>
      </c>
      <c r="H49" s="5">
        <v>0</v>
      </c>
      <c r="I49" s="4">
        <v>14400</v>
      </c>
      <c r="J49" s="4">
        <v>3600</v>
      </c>
      <c r="K49" s="2" t="s">
        <v>313</v>
      </c>
      <c r="L49" s="2" t="e">
        <f ca="1">_xludf.XLOOKUP(C49,Customers!$A$4:$A$53,Customers!$B$4:$B$53,"Not found")</f>
        <v>#NAME?</v>
      </c>
      <c r="M49" s="2" t="e">
        <f ca="1">_xludf.XLOOKUP(C49,Customers!$A$4:$A$53,Customers!$C$4:$C$53,"Not found")</f>
        <v>#NAME?</v>
      </c>
      <c r="N49" s="2" t="e">
        <f ca="1">_xludf.XLOOKUP(C49,Customers!$A$4:$A$53,Customers!$D$4:$D$53,"Not found")</f>
        <v>#NAME?</v>
      </c>
      <c r="O49" s="2" t="e">
        <f ca="1">_xludf.XLOOKUP(C49,Customers!$A$4:$A$53,Customers!$E$4:$E$53,"Not found")</f>
        <v>#NAME?</v>
      </c>
      <c r="P49" s="2" t="e">
        <f ca="1">_xludf.XLOOKUP(C49,Customers!$A$4:$A$53,Customers!$F$4:$F$53,"Not found")</f>
        <v>#NAME?</v>
      </c>
      <c r="Q49" s="2" t="e">
        <f ca="1">_xludf.XLOOKUP(D49,Products!$A$4:$A$23,Products!$B$4:$B$23,"Not found")</f>
        <v>#NAME?</v>
      </c>
      <c r="R49" s="2" t="e">
        <f ca="1">_xludf.XLOOKUP(D49,Products!$A$4:$A$23,Products!$C$4:$C$23,"Not found")</f>
        <v>#NAME?</v>
      </c>
      <c r="S49" s="2" t="e">
        <f ca="1">_xludf.XLOOKUP(E49,Sales_Reps!$A$4:$A$11,Sales_Reps!$B$4:$B$11,"Not found")</f>
        <v>#NAME?</v>
      </c>
      <c r="T49" s="2" t="e">
        <f ca="1">_xludf.XLOOKUP(E49,Sales_Reps!$A$4:$A$11,Sales_Reps!$C$4:$C$11,"Not found")</f>
        <v>#NAME?</v>
      </c>
      <c r="U49" s="2"/>
      <c r="V49" s="2"/>
      <c r="W49" s="2"/>
      <c r="X49" s="2"/>
      <c r="Y49" s="2"/>
      <c r="Z49" s="2"/>
    </row>
    <row r="50" spans="1:26" ht="15">
      <c r="A50" s="2" t="s">
        <v>354</v>
      </c>
      <c r="B50" s="6">
        <v>46137</v>
      </c>
      <c r="C50" s="2" t="s">
        <v>199</v>
      </c>
      <c r="D50" s="2" t="s">
        <v>277</v>
      </c>
      <c r="E50" s="2" t="s">
        <v>292</v>
      </c>
      <c r="F50" s="2">
        <v>7</v>
      </c>
      <c r="G50" s="4">
        <v>900</v>
      </c>
      <c r="H50" s="5">
        <v>0.1</v>
      </c>
      <c r="I50" s="4">
        <v>5670</v>
      </c>
      <c r="J50" s="4">
        <v>1474.2</v>
      </c>
      <c r="K50" s="2" t="s">
        <v>306</v>
      </c>
      <c r="L50" s="2" t="e">
        <f ca="1">_xludf.XLOOKUP(C50,Customers!$A$4:$A$53,Customers!$B$4:$B$53,"Not found")</f>
        <v>#NAME?</v>
      </c>
      <c r="M50" s="2" t="e">
        <f ca="1">_xludf.XLOOKUP(C50,Customers!$A$4:$A$53,Customers!$C$4:$C$53,"Not found")</f>
        <v>#NAME?</v>
      </c>
      <c r="N50" s="2" t="e">
        <f ca="1">_xludf.XLOOKUP(C50,Customers!$A$4:$A$53,Customers!$D$4:$D$53,"Not found")</f>
        <v>#NAME?</v>
      </c>
      <c r="O50" s="2" t="e">
        <f ca="1">_xludf.XLOOKUP(C50,Customers!$A$4:$A$53,Customers!$E$4:$E$53,"Not found")</f>
        <v>#NAME?</v>
      </c>
      <c r="P50" s="2" t="e">
        <f ca="1">_xludf.XLOOKUP(C50,Customers!$A$4:$A$53,Customers!$F$4:$F$53,"Not found")</f>
        <v>#NAME?</v>
      </c>
      <c r="Q50" s="2" t="e">
        <f ca="1">_xludf.XLOOKUP(D50,Products!$A$4:$A$23,Products!$B$4:$B$23,"Not found")</f>
        <v>#NAME?</v>
      </c>
      <c r="R50" s="2" t="e">
        <f ca="1">_xludf.XLOOKUP(D50,Products!$A$4:$A$23,Products!$C$4:$C$23,"Not found")</f>
        <v>#NAME?</v>
      </c>
      <c r="S50" s="2" t="e">
        <f ca="1">_xludf.XLOOKUP(E50,Sales_Reps!$A$4:$A$11,Sales_Reps!$B$4:$B$11,"Not found")</f>
        <v>#NAME?</v>
      </c>
      <c r="T50" s="2" t="e">
        <f ca="1">_xludf.XLOOKUP(E50,Sales_Reps!$A$4:$A$11,Sales_Reps!$C$4:$C$11,"Not found")</f>
        <v>#NAME?</v>
      </c>
      <c r="U50" s="2"/>
      <c r="V50" s="2"/>
      <c r="W50" s="2"/>
      <c r="X50" s="2"/>
      <c r="Y50" s="2"/>
      <c r="Z50" s="2"/>
    </row>
    <row r="51" spans="1:26">
      <c r="A51" s="2" t="s">
        <v>355</v>
      </c>
      <c r="B51" s="6">
        <v>46147</v>
      </c>
      <c r="C51" s="2" t="s">
        <v>225</v>
      </c>
      <c r="D51" s="2" t="s">
        <v>269</v>
      </c>
      <c r="E51" s="2" t="s">
        <v>290</v>
      </c>
      <c r="F51" s="2">
        <v>5</v>
      </c>
      <c r="G51" s="4">
        <v>1100</v>
      </c>
      <c r="H51" s="5">
        <v>0.1</v>
      </c>
      <c r="I51" s="4">
        <v>4950</v>
      </c>
      <c r="J51" s="4">
        <v>3366</v>
      </c>
      <c r="K51" s="2" t="s">
        <v>306</v>
      </c>
      <c r="L51" s="2" t="e">
        <f ca="1">_xludf.XLOOKUP(C51,Customers!$A$4:$A$53,Customers!$B$4:$B$53,"Not found")</f>
        <v>#NAME?</v>
      </c>
      <c r="M51" s="2" t="e">
        <f ca="1">_xludf.XLOOKUP(C51,Customers!$A$4:$A$53,Customers!$C$4:$C$53,"Not found")</f>
        <v>#NAME?</v>
      </c>
      <c r="N51" s="2" t="e">
        <f ca="1">_xludf.XLOOKUP(C51,Customers!$A$4:$A$53,Customers!$D$4:$D$53,"Not found")</f>
        <v>#NAME?</v>
      </c>
      <c r="O51" s="2" t="e">
        <f ca="1">_xludf.XLOOKUP(C51,Customers!$A$4:$A$53,Customers!$E$4:$E$53,"Not found")</f>
        <v>#NAME?</v>
      </c>
      <c r="P51" s="2" t="e">
        <f ca="1">_xludf.XLOOKUP(C51,Customers!$A$4:$A$53,Customers!$F$4:$F$53,"Not found")</f>
        <v>#NAME?</v>
      </c>
      <c r="Q51" s="2" t="e">
        <f ca="1">_xludf.XLOOKUP(D51,Products!$A$4:$A$23,Products!$B$4:$B$23,"Not found")</f>
        <v>#NAME?</v>
      </c>
      <c r="R51" s="2" t="e">
        <f ca="1">_xludf.XLOOKUP(D51,Products!$A$4:$A$23,Products!$C$4:$C$23,"Not found")</f>
        <v>#NAME?</v>
      </c>
      <c r="S51" s="2" t="e">
        <f ca="1">_xludf.XLOOKUP(E51,Sales_Reps!$A$4:$A$11,Sales_Reps!$B$4:$B$11,"Not found")</f>
        <v>#NAME?</v>
      </c>
      <c r="T51" s="2" t="e">
        <f ca="1">_xludf.XLOOKUP(E51,Sales_Reps!$A$4:$A$11,Sales_Reps!$C$4:$C$11,"Not found")</f>
        <v>#NAME?</v>
      </c>
      <c r="U51" s="2"/>
      <c r="V51" s="2"/>
      <c r="W51" s="2"/>
      <c r="X51" s="2"/>
      <c r="Y51" s="2"/>
      <c r="Z51" s="2"/>
    </row>
    <row r="52" spans="1:26">
      <c r="A52" s="2" t="s">
        <v>356</v>
      </c>
      <c r="B52" s="6">
        <v>46108</v>
      </c>
      <c r="C52" s="2" t="s">
        <v>160</v>
      </c>
      <c r="D52" s="2" t="s">
        <v>267</v>
      </c>
      <c r="E52" s="2" t="s">
        <v>294</v>
      </c>
      <c r="F52" s="2">
        <v>4</v>
      </c>
      <c r="G52" s="4">
        <v>120</v>
      </c>
      <c r="H52" s="5">
        <v>0</v>
      </c>
      <c r="I52" s="4">
        <v>480</v>
      </c>
      <c r="J52" s="4">
        <v>182.4</v>
      </c>
      <c r="K52" s="2" t="s">
        <v>306</v>
      </c>
      <c r="L52" s="2" t="e">
        <f ca="1">_xludf.XLOOKUP(C52,Customers!$A$4:$A$53,Customers!$B$4:$B$53,"Not found")</f>
        <v>#NAME?</v>
      </c>
      <c r="M52" s="2" t="e">
        <f ca="1">_xludf.XLOOKUP(C52,Customers!$A$4:$A$53,Customers!$C$4:$C$53,"Not found")</f>
        <v>#NAME?</v>
      </c>
      <c r="N52" s="2" t="e">
        <f ca="1">_xludf.XLOOKUP(C52,Customers!$A$4:$A$53,Customers!$D$4:$D$53,"Not found")</f>
        <v>#NAME?</v>
      </c>
      <c r="O52" s="2" t="e">
        <f ca="1">_xludf.XLOOKUP(C52,Customers!$A$4:$A$53,Customers!$E$4:$E$53,"Not found")</f>
        <v>#NAME?</v>
      </c>
      <c r="P52" s="2" t="e">
        <f ca="1">_xludf.XLOOKUP(C52,Customers!$A$4:$A$53,Customers!$F$4:$F$53,"Not found")</f>
        <v>#NAME?</v>
      </c>
      <c r="Q52" s="2" t="e">
        <f ca="1">_xludf.XLOOKUP(D52,Products!$A$4:$A$23,Products!$B$4:$B$23,"Not found")</f>
        <v>#NAME?</v>
      </c>
      <c r="R52" s="2" t="e">
        <f ca="1">_xludf.XLOOKUP(D52,Products!$A$4:$A$23,Products!$C$4:$C$23,"Not found")</f>
        <v>#NAME?</v>
      </c>
      <c r="S52" s="2" t="e">
        <f ca="1">_xludf.XLOOKUP(E52,Sales_Reps!$A$4:$A$11,Sales_Reps!$B$4:$B$11,"Not found")</f>
        <v>#NAME?</v>
      </c>
      <c r="T52" s="2" t="e">
        <f ca="1">_xludf.XLOOKUP(E52,Sales_Reps!$A$4:$A$11,Sales_Reps!$C$4:$C$11,"Not found")</f>
        <v>#NAME?</v>
      </c>
      <c r="U52" s="2"/>
      <c r="V52" s="2"/>
      <c r="W52" s="2"/>
      <c r="X52" s="2"/>
      <c r="Y52" s="2"/>
      <c r="Z52" s="2"/>
    </row>
    <row r="53" spans="1:26">
      <c r="A53" s="2" t="s">
        <v>357</v>
      </c>
      <c r="B53" s="6">
        <v>46062</v>
      </c>
      <c r="C53" s="2" t="s">
        <v>197</v>
      </c>
      <c r="D53" s="2" t="s">
        <v>240</v>
      </c>
      <c r="E53" s="2" t="s">
        <v>284</v>
      </c>
      <c r="F53" s="2">
        <v>7</v>
      </c>
      <c r="G53" s="4">
        <v>300</v>
      </c>
      <c r="H53" s="5">
        <v>0.15</v>
      </c>
      <c r="I53" s="4">
        <v>1785</v>
      </c>
      <c r="J53" s="4">
        <v>535.5</v>
      </c>
      <c r="K53" s="2" t="s">
        <v>306</v>
      </c>
      <c r="L53" s="2" t="e">
        <f ca="1">_xludf.XLOOKUP(C53,Customers!$A$4:$A$53,Customers!$B$4:$B$53,"Not found")</f>
        <v>#NAME?</v>
      </c>
      <c r="M53" s="2" t="e">
        <f ca="1">_xludf.XLOOKUP(C53,Customers!$A$4:$A$53,Customers!$C$4:$C$53,"Not found")</f>
        <v>#NAME?</v>
      </c>
      <c r="N53" s="2" t="e">
        <f ca="1">_xludf.XLOOKUP(C53,Customers!$A$4:$A$53,Customers!$D$4:$D$53,"Not found")</f>
        <v>#NAME?</v>
      </c>
      <c r="O53" s="2" t="e">
        <f ca="1">_xludf.XLOOKUP(C53,Customers!$A$4:$A$53,Customers!$E$4:$E$53,"Not found")</f>
        <v>#NAME?</v>
      </c>
      <c r="P53" s="2" t="e">
        <f ca="1">_xludf.XLOOKUP(C53,Customers!$A$4:$A$53,Customers!$F$4:$F$53,"Not found")</f>
        <v>#NAME?</v>
      </c>
      <c r="Q53" s="2" t="e">
        <f ca="1">_xludf.XLOOKUP(D53,Products!$A$4:$A$23,Products!$B$4:$B$23,"Not found")</f>
        <v>#NAME?</v>
      </c>
      <c r="R53" s="2" t="e">
        <f ca="1">_xludf.XLOOKUP(D53,Products!$A$4:$A$23,Products!$C$4:$C$23,"Not found")</f>
        <v>#NAME?</v>
      </c>
      <c r="S53" s="2" t="e">
        <f ca="1">_xludf.XLOOKUP(E53,Sales_Reps!$A$4:$A$11,Sales_Reps!$B$4:$B$11,"Not found")</f>
        <v>#NAME?</v>
      </c>
      <c r="T53" s="2" t="e">
        <f ca="1">_xludf.XLOOKUP(E53,Sales_Reps!$A$4:$A$11,Sales_Reps!$C$4:$C$11,"Not found")</f>
        <v>#NAME?</v>
      </c>
      <c r="U53" s="2"/>
      <c r="V53" s="2"/>
      <c r="W53" s="2"/>
      <c r="X53" s="2"/>
      <c r="Y53" s="2"/>
      <c r="Z53" s="2"/>
    </row>
    <row r="54" spans="1:26">
      <c r="A54" s="2" t="s">
        <v>358</v>
      </c>
      <c r="B54" s="6">
        <v>46075</v>
      </c>
      <c r="C54" s="2" t="s">
        <v>122</v>
      </c>
      <c r="D54" s="2" t="s">
        <v>265</v>
      </c>
      <c r="E54" s="2" t="s">
        <v>292</v>
      </c>
      <c r="F54" s="2">
        <v>7</v>
      </c>
      <c r="G54" s="4">
        <v>650</v>
      </c>
      <c r="H54" s="5">
        <v>0</v>
      </c>
      <c r="I54" s="4">
        <v>4550</v>
      </c>
      <c r="J54" s="4">
        <v>1456</v>
      </c>
      <c r="K54" s="2" t="s">
        <v>309</v>
      </c>
      <c r="L54" s="2" t="e">
        <f ca="1">_xludf.XLOOKUP(C54,Customers!$A$4:$A$53,Customers!$B$4:$B$53,"Not found")</f>
        <v>#NAME?</v>
      </c>
      <c r="M54" s="2" t="e">
        <f ca="1">_xludf.XLOOKUP(C54,Customers!$A$4:$A$53,Customers!$C$4:$C$53,"Not found")</f>
        <v>#NAME?</v>
      </c>
      <c r="N54" s="2" t="e">
        <f ca="1">_xludf.XLOOKUP(C54,Customers!$A$4:$A$53,Customers!$D$4:$D$53,"Not found")</f>
        <v>#NAME?</v>
      </c>
      <c r="O54" s="2" t="e">
        <f ca="1">_xludf.XLOOKUP(C54,Customers!$A$4:$A$53,Customers!$E$4:$E$53,"Not found")</f>
        <v>#NAME?</v>
      </c>
      <c r="P54" s="2" t="e">
        <f ca="1">_xludf.XLOOKUP(C54,Customers!$A$4:$A$53,Customers!$F$4:$F$53,"Not found")</f>
        <v>#NAME?</v>
      </c>
      <c r="Q54" s="2" t="e">
        <f ca="1">_xludf.XLOOKUP(D54,Products!$A$4:$A$23,Products!$B$4:$B$23,"Not found")</f>
        <v>#NAME?</v>
      </c>
      <c r="R54" s="2" t="e">
        <f ca="1">_xludf.XLOOKUP(D54,Products!$A$4:$A$23,Products!$C$4:$C$23,"Not found")</f>
        <v>#NAME?</v>
      </c>
      <c r="S54" s="2" t="e">
        <f ca="1">_xludf.XLOOKUP(E54,Sales_Reps!$A$4:$A$11,Sales_Reps!$B$4:$B$11,"Not found")</f>
        <v>#NAME?</v>
      </c>
      <c r="T54" s="2" t="e">
        <f ca="1">_xludf.XLOOKUP(E54,Sales_Reps!$A$4:$A$11,Sales_Reps!$C$4:$C$11,"Not found")</f>
        <v>#NAME?</v>
      </c>
      <c r="U54" s="2"/>
      <c r="V54" s="2"/>
      <c r="W54" s="2"/>
      <c r="X54" s="2"/>
      <c r="Y54" s="2"/>
      <c r="Z54" s="2"/>
    </row>
    <row r="55" spans="1:26">
      <c r="A55" s="2" t="s">
        <v>359</v>
      </c>
      <c r="B55" s="6">
        <v>46024</v>
      </c>
      <c r="C55" s="2" t="s">
        <v>175</v>
      </c>
      <c r="D55" s="2" t="s">
        <v>275</v>
      </c>
      <c r="E55" s="2" t="s">
        <v>75</v>
      </c>
      <c r="F55" s="2">
        <v>7</v>
      </c>
      <c r="G55" s="4">
        <v>450</v>
      </c>
      <c r="H55" s="5">
        <v>0.05</v>
      </c>
      <c r="I55" s="4">
        <v>2992.5</v>
      </c>
      <c r="J55" s="4">
        <v>658.35</v>
      </c>
      <c r="K55" s="2" t="s">
        <v>306</v>
      </c>
      <c r="L55" s="2" t="e">
        <f ca="1">_xludf.XLOOKUP(C55,Customers!$A$4:$A$53,Customers!$B$4:$B$53,"Not found")</f>
        <v>#NAME?</v>
      </c>
      <c r="M55" s="2" t="e">
        <f ca="1">_xludf.XLOOKUP(C55,Customers!$A$4:$A$53,Customers!$C$4:$C$53,"Not found")</f>
        <v>#NAME?</v>
      </c>
      <c r="N55" s="2" t="e">
        <f ca="1">_xludf.XLOOKUP(C55,Customers!$A$4:$A$53,Customers!$D$4:$D$53,"Not found")</f>
        <v>#NAME?</v>
      </c>
      <c r="O55" s="2" t="e">
        <f ca="1">_xludf.XLOOKUP(C55,Customers!$A$4:$A$53,Customers!$E$4:$E$53,"Not found")</f>
        <v>#NAME?</v>
      </c>
      <c r="P55" s="2" t="e">
        <f ca="1">_xludf.XLOOKUP(C55,Customers!$A$4:$A$53,Customers!$F$4:$F$53,"Not found")</f>
        <v>#NAME?</v>
      </c>
      <c r="Q55" s="2" t="e">
        <f ca="1">_xludf.XLOOKUP(D55,Products!$A$4:$A$23,Products!$B$4:$B$23,"Not found")</f>
        <v>#NAME?</v>
      </c>
      <c r="R55" s="2" t="e">
        <f ca="1">_xludf.XLOOKUP(D55,Products!$A$4:$A$23,Products!$C$4:$C$23,"Not found")</f>
        <v>#NAME?</v>
      </c>
      <c r="S55" s="2" t="e">
        <f ca="1">_xludf.XLOOKUP(E55,Sales_Reps!$A$4:$A$11,Sales_Reps!$B$4:$B$11,"Not found")</f>
        <v>#NAME?</v>
      </c>
      <c r="T55" s="2" t="e">
        <f ca="1">_xludf.XLOOKUP(E55,Sales_Reps!$A$4:$A$11,Sales_Reps!$C$4:$C$11,"Not found")</f>
        <v>#NAME?</v>
      </c>
      <c r="U55" s="2"/>
      <c r="V55" s="2"/>
      <c r="W55" s="2"/>
      <c r="X55" s="2"/>
      <c r="Y55" s="2"/>
      <c r="Z55" s="2"/>
    </row>
    <row r="56" spans="1:26">
      <c r="A56" s="2" t="s">
        <v>360</v>
      </c>
      <c r="B56" s="6">
        <v>46079</v>
      </c>
      <c r="C56" s="2" t="s">
        <v>164</v>
      </c>
      <c r="D56" s="2" t="s">
        <v>263</v>
      </c>
      <c r="E56" s="2" t="s">
        <v>296</v>
      </c>
      <c r="F56" s="2">
        <v>4</v>
      </c>
      <c r="G56" s="4">
        <v>800</v>
      </c>
      <c r="H56" s="5">
        <v>0.05</v>
      </c>
      <c r="I56" s="4">
        <v>3040</v>
      </c>
      <c r="J56" s="4">
        <v>820.8</v>
      </c>
      <c r="K56" s="2" t="s">
        <v>306</v>
      </c>
      <c r="L56" s="2" t="e">
        <f ca="1">_xludf.XLOOKUP(C56,Customers!$A$4:$A$53,Customers!$B$4:$B$53,"Not found")</f>
        <v>#NAME?</v>
      </c>
      <c r="M56" s="2" t="e">
        <f ca="1">_xludf.XLOOKUP(C56,Customers!$A$4:$A$53,Customers!$C$4:$C$53,"Not found")</f>
        <v>#NAME?</v>
      </c>
      <c r="N56" s="2" t="e">
        <f ca="1">_xludf.XLOOKUP(C56,Customers!$A$4:$A$53,Customers!$D$4:$D$53,"Not found")</f>
        <v>#NAME?</v>
      </c>
      <c r="O56" s="2" t="e">
        <f ca="1">_xludf.XLOOKUP(C56,Customers!$A$4:$A$53,Customers!$E$4:$E$53,"Not found")</f>
        <v>#NAME?</v>
      </c>
      <c r="P56" s="2" t="e">
        <f ca="1">_xludf.XLOOKUP(C56,Customers!$A$4:$A$53,Customers!$F$4:$F$53,"Not found")</f>
        <v>#NAME?</v>
      </c>
      <c r="Q56" s="2" t="e">
        <f ca="1">_xludf.XLOOKUP(D56,Products!$A$4:$A$23,Products!$B$4:$B$23,"Not found")</f>
        <v>#NAME?</v>
      </c>
      <c r="R56" s="2" t="e">
        <f ca="1">_xludf.XLOOKUP(D56,Products!$A$4:$A$23,Products!$C$4:$C$23,"Not found")</f>
        <v>#NAME?</v>
      </c>
      <c r="S56" s="2" t="e">
        <f ca="1">_xludf.XLOOKUP(E56,Sales_Reps!$A$4:$A$11,Sales_Reps!$B$4:$B$11,"Not found")</f>
        <v>#NAME?</v>
      </c>
      <c r="T56" s="2" t="e">
        <f ca="1">_xludf.XLOOKUP(E56,Sales_Reps!$A$4:$A$11,Sales_Reps!$C$4:$C$11,"Not found")</f>
        <v>#NAME?</v>
      </c>
      <c r="U56" s="2"/>
      <c r="V56" s="2"/>
      <c r="W56" s="2"/>
      <c r="X56" s="2"/>
      <c r="Y56" s="2"/>
      <c r="Z56" s="2"/>
    </row>
    <row r="57" spans="1:26" ht="15">
      <c r="A57" s="2" t="s">
        <v>361</v>
      </c>
      <c r="B57" s="6">
        <v>46065</v>
      </c>
      <c r="C57" s="2" t="s">
        <v>182</v>
      </c>
      <c r="D57" s="2" t="s">
        <v>269</v>
      </c>
      <c r="E57" s="2" t="s">
        <v>296</v>
      </c>
      <c r="F57" s="2">
        <v>7</v>
      </c>
      <c r="G57" s="4">
        <v>1100</v>
      </c>
      <c r="H57" s="5">
        <v>0.15</v>
      </c>
      <c r="I57" s="4">
        <v>6545</v>
      </c>
      <c r="J57" s="4">
        <v>4450.6000000000004</v>
      </c>
      <c r="K57" s="2" t="s">
        <v>309</v>
      </c>
      <c r="L57" s="2" t="e">
        <f ca="1">_xludf.XLOOKUP(C57,Customers!$A$4:$A$53,Customers!$B$4:$B$53,"Not found")</f>
        <v>#NAME?</v>
      </c>
      <c r="M57" s="2" t="e">
        <f ca="1">_xludf.XLOOKUP(C57,Customers!$A$4:$A$53,Customers!$C$4:$C$53,"Not found")</f>
        <v>#NAME?</v>
      </c>
      <c r="N57" s="2" t="e">
        <f ca="1">_xludf.XLOOKUP(C57,Customers!$A$4:$A$53,Customers!$D$4:$D$53,"Not found")</f>
        <v>#NAME?</v>
      </c>
      <c r="O57" s="2" t="e">
        <f ca="1">_xludf.XLOOKUP(C57,Customers!$A$4:$A$53,Customers!$E$4:$E$53,"Not found")</f>
        <v>#NAME?</v>
      </c>
      <c r="P57" s="2" t="e">
        <f ca="1">_xludf.XLOOKUP(C57,Customers!$A$4:$A$53,Customers!$F$4:$F$53,"Not found")</f>
        <v>#NAME?</v>
      </c>
      <c r="Q57" s="2" t="e">
        <f ca="1">_xludf.XLOOKUP(D57,Products!$A$4:$A$23,Products!$B$4:$B$23,"Not found")</f>
        <v>#NAME?</v>
      </c>
      <c r="R57" s="2" t="e">
        <f ca="1">_xludf.XLOOKUP(D57,Products!$A$4:$A$23,Products!$C$4:$C$23,"Not found")</f>
        <v>#NAME?</v>
      </c>
      <c r="S57" s="2" t="e">
        <f ca="1">_xludf.XLOOKUP(E57,Sales_Reps!$A$4:$A$11,Sales_Reps!$B$4:$B$11,"Not found")</f>
        <v>#NAME?</v>
      </c>
      <c r="T57" s="2" t="e">
        <f ca="1">_xludf.XLOOKUP(E57,Sales_Reps!$A$4:$A$11,Sales_Reps!$C$4:$C$11,"Not found")</f>
        <v>#NAME?</v>
      </c>
      <c r="U57" s="2"/>
      <c r="V57" s="2"/>
      <c r="W57" s="2"/>
      <c r="X57" s="2"/>
      <c r="Y57" s="2"/>
      <c r="Z57" s="2"/>
    </row>
    <row r="58" spans="1:26">
      <c r="A58" s="2" t="s">
        <v>362</v>
      </c>
      <c r="B58" s="6">
        <v>46132</v>
      </c>
      <c r="C58" s="2" t="s">
        <v>136</v>
      </c>
      <c r="D58" s="2" t="s">
        <v>277</v>
      </c>
      <c r="E58" s="2" t="s">
        <v>294</v>
      </c>
      <c r="F58" s="2">
        <v>1</v>
      </c>
      <c r="G58" s="4">
        <v>900</v>
      </c>
      <c r="H58" s="5">
        <v>0</v>
      </c>
      <c r="I58" s="4">
        <v>900</v>
      </c>
      <c r="J58" s="4">
        <v>234</v>
      </c>
      <c r="K58" s="2" t="s">
        <v>306</v>
      </c>
      <c r="L58" s="2" t="e">
        <f ca="1">_xludf.XLOOKUP(C58,Customers!$A$4:$A$53,Customers!$B$4:$B$53,"Not found")</f>
        <v>#NAME?</v>
      </c>
      <c r="M58" s="2" t="e">
        <f ca="1">_xludf.XLOOKUP(C58,Customers!$A$4:$A$53,Customers!$C$4:$C$53,"Not found")</f>
        <v>#NAME?</v>
      </c>
      <c r="N58" s="2" t="e">
        <f ca="1">_xludf.XLOOKUP(C58,Customers!$A$4:$A$53,Customers!$D$4:$D$53,"Not found")</f>
        <v>#NAME?</v>
      </c>
      <c r="O58" s="2" t="e">
        <f ca="1">_xludf.XLOOKUP(C58,Customers!$A$4:$A$53,Customers!$E$4:$E$53,"Not found")</f>
        <v>#NAME?</v>
      </c>
      <c r="P58" s="2" t="e">
        <f ca="1">_xludf.XLOOKUP(C58,Customers!$A$4:$A$53,Customers!$F$4:$F$53,"Not found")</f>
        <v>#NAME?</v>
      </c>
      <c r="Q58" s="2" t="e">
        <f ca="1">_xludf.XLOOKUP(D58,Products!$A$4:$A$23,Products!$B$4:$B$23,"Not found")</f>
        <v>#NAME?</v>
      </c>
      <c r="R58" s="2" t="e">
        <f ca="1">_xludf.XLOOKUP(D58,Products!$A$4:$A$23,Products!$C$4:$C$23,"Not found")</f>
        <v>#NAME?</v>
      </c>
      <c r="S58" s="2" t="e">
        <f ca="1">_xludf.XLOOKUP(E58,Sales_Reps!$A$4:$A$11,Sales_Reps!$B$4:$B$11,"Not found")</f>
        <v>#NAME?</v>
      </c>
      <c r="T58" s="2" t="e">
        <f ca="1">_xludf.XLOOKUP(E58,Sales_Reps!$A$4:$A$11,Sales_Reps!$C$4:$C$11,"Not found")</f>
        <v>#NAME?</v>
      </c>
      <c r="U58" s="2"/>
      <c r="V58" s="2"/>
      <c r="W58" s="2"/>
      <c r="X58" s="2"/>
      <c r="Y58" s="2"/>
      <c r="Z58" s="2"/>
    </row>
    <row r="59" spans="1:26">
      <c r="A59" s="2" t="s">
        <v>363</v>
      </c>
      <c r="B59" s="6">
        <v>46139</v>
      </c>
      <c r="C59" s="2" t="s">
        <v>186</v>
      </c>
      <c r="D59" s="2" t="s">
        <v>247</v>
      </c>
      <c r="E59" s="2" t="s">
        <v>296</v>
      </c>
      <c r="F59" s="2">
        <v>6</v>
      </c>
      <c r="G59" s="4">
        <v>250</v>
      </c>
      <c r="H59" s="5">
        <v>0</v>
      </c>
      <c r="I59" s="4">
        <v>1500</v>
      </c>
      <c r="J59" s="4">
        <v>525</v>
      </c>
      <c r="K59" s="2" t="s">
        <v>306</v>
      </c>
      <c r="L59" s="2" t="e">
        <f ca="1">_xludf.XLOOKUP(C59,Customers!$A$4:$A$53,Customers!$B$4:$B$53,"Not found")</f>
        <v>#NAME?</v>
      </c>
      <c r="M59" s="2" t="e">
        <f ca="1">_xludf.XLOOKUP(C59,Customers!$A$4:$A$53,Customers!$C$4:$C$53,"Not found")</f>
        <v>#NAME?</v>
      </c>
      <c r="N59" s="2" t="e">
        <f ca="1">_xludf.XLOOKUP(C59,Customers!$A$4:$A$53,Customers!$D$4:$D$53,"Not found")</f>
        <v>#NAME?</v>
      </c>
      <c r="O59" s="2" t="e">
        <f ca="1">_xludf.XLOOKUP(C59,Customers!$A$4:$A$53,Customers!$E$4:$E$53,"Not found")</f>
        <v>#NAME?</v>
      </c>
      <c r="P59" s="2" t="e">
        <f ca="1">_xludf.XLOOKUP(C59,Customers!$A$4:$A$53,Customers!$F$4:$F$53,"Not found")</f>
        <v>#NAME?</v>
      </c>
      <c r="Q59" s="2" t="e">
        <f ca="1">_xludf.XLOOKUP(D59,Products!$A$4:$A$23,Products!$B$4:$B$23,"Not found")</f>
        <v>#NAME?</v>
      </c>
      <c r="R59" s="2" t="e">
        <f ca="1">_xludf.XLOOKUP(D59,Products!$A$4:$A$23,Products!$C$4:$C$23,"Not found")</f>
        <v>#NAME?</v>
      </c>
      <c r="S59" s="2" t="e">
        <f ca="1">_xludf.XLOOKUP(E59,Sales_Reps!$A$4:$A$11,Sales_Reps!$B$4:$B$11,"Not found")</f>
        <v>#NAME?</v>
      </c>
      <c r="T59" s="2" t="e">
        <f ca="1">_xludf.XLOOKUP(E59,Sales_Reps!$A$4:$A$11,Sales_Reps!$C$4:$C$11,"Not found")</f>
        <v>#NAME?</v>
      </c>
      <c r="U59" s="2"/>
      <c r="V59" s="2"/>
      <c r="W59" s="2"/>
      <c r="X59" s="2"/>
      <c r="Y59" s="2"/>
      <c r="Z59" s="2"/>
    </row>
    <row r="60" spans="1:26">
      <c r="A60" s="2" t="s">
        <v>364</v>
      </c>
      <c r="B60" s="6">
        <v>46143</v>
      </c>
      <c r="C60" s="2" t="s">
        <v>169</v>
      </c>
      <c r="D60" s="2" t="s">
        <v>263</v>
      </c>
      <c r="E60" s="2" t="s">
        <v>298</v>
      </c>
      <c r="F60" s="2">
        <v>5</v>
      </c>
      <c r="G60" s="4">
        <v>800</v>
      </c>
      <c r="H60" s="5">
        <v>0</v>
      </c>
      <c r="I60" s="4">
        <v>4000</v>
      </c>
      <c r="J60" s="4">
        <v>1080</v>
      </c>
      <c r="K60" s="2" t="s">
        <v>306</v>
      </c>
      <c r="L60" s="2" t="e">
        <f ca="1">_xludf.XLOOKUP(C60,Customers!$A$4:$A$53,Customers!$B$4:$B$53,"Not found")</f>
        <v>#NAME?</v>
      </c>
      <c r="M60" s="2" t="e">
        <f ca="1">_xludf.XLOOKUP(C60,Customers!$A$4:$A$53,Customers!$C$4:$C$53,"Not found")</f>
        <v>#NAME?</v>
      </c>
      <c r="N60" s="2" t="e">
        <f ca="1">_xludf.XLOOKUP(C60,Customers!$A$4:$A$53,Customers!$D$4:$D$53,"Not found")</f>
        <v>#NAME?</v>
      </c>
      <c r="O60" s="2" t="e">
        <f ca="1">_xludf.XLOOKUP(C60,Customers!$A$4:$A$53,Customers!$E$4:$E$53,"Not found")</f>
        <v>#NAME?</v>
      </c>
      <c r="P60" s="2" t="e">
        <f ca="1">_xludf.XLOOKUP(C60,Customers!$A$4:$A$53,Customers!$F$4:$F$53,"Not found")</f>
        <v>#NAME?</v>
      </c>
      <c r="Q60" s="2" t="e">
        <f ca="1">_xludf.XLOOKUP(D60,Products!$A$4:$A$23,Products!$B$4:$B$23,"Not found")</f>
        <v>#NAME?</v>
      </c>
      <c r="R60" s="2" t="e">
        <f ca="1">_xludf.XLOOKUP(D60,Products!$A$4:$A$23,Products!$C$4:$C$23,"Not found")</f>
        <v>#NAME?</v>
      </c>
      <c r="S60" s="2" t="e">
        <f ca="1">_xludf.XLOOKUP(E60,Sales_Reps!$A$4:$A$11,Sales_Reps!$B$4:$B$11,"Not found")</f>
        <v>#NAME?</v>
      </c>
      <c r="T60" s="2" t="e">
        <f ca="1">_xludf.XLOOKUP(E60,Sales_Reps!$A$4:$A$11,Sales_Reps!$C$4:$C$11,"Not found")</f>
        <v>#NAME?</v>
      </c>
      <c r="U60" s="2"/>
      <c r="V60" s="2"/>
      <c r="W60" s="2"/>
      <c r="X60" s="2"/>
      <c r="Y60" s="2"/>
      <c r="Z60" s="2"/>
    </row>
    <row r="61" spans="1:26">
      <c r="A61" s="2" t="s">
        <v>365</v>
      </c>
      <c r="B61" s="6">
        <v>46040</v>
      </c>
      <c r="C61" s="2" t="s">
        <v>225</v>
      </c>
      <c r="D61" s="2" t="s">
        <v>273</v>
      </c>
      <c r="E61" s="2" t="s">
        <v>298</v>
      </c>
      <c r="F61" s="2">
        <v>4</v>
      </c>
      <c r="G61" s="4">
        <v>350</v>
      </c>
      <c r="H61" s="5">
        <v>0.15</v>
      </c>
      <c r="I61" s="4">
        <v>1190</v>
      </c>
      <c r="J61" s="4">
        <v>690.2</v>
      </c>
      <c r="K61" s="2" t="s">
        <v>306</v>
      </c>
      <c r="L61" s="2" t="e">
        <f ca="1">_xludf.XLOOKUP(C61,Customers!$A$4:$A$53,Customers!$B$4:$B$53,"Not found")</f>
        <v>#NAME?</v>
      </c>
      <c r="M61" s="2" t="e">
        <f ca="1">_xludf.XLOOKUP(C61,Customers!$A$4:$A$53,Customers!$C$4:$C$53,"Not found")</f>
        <v>#NAME?</v>
      </c>
      <c r="N61" s="2" t="e">
        <f ca="1">_xludf.XLOOKUP(C61,Customers!$A$4:$A$53,Customers!$D$4:$D$53,"Not found")</f>
        <v>#NAME?</v>
      </c>
      <c r="O61" s="2" t="e">
        <f ca="1">_xludf.XLOOKUP(C61,Customers!$A$4:$A$53,Customers!$E$4:$E$53,"Not found")</f>
        <v>#NAME?</v>
      </c>
      <c r="P61" s="2" t="e">
        <f ca="1">_xludf.XLOOKUP(C61,Customers!$A$4:$A$53,Customers!$F$4:$F$53,"Not found")</f>
        <v>#NAME?</v>
      </c>
      <c r="Q61" s="2" t="e">
        <f ca="1">_xludf.XLOOKUP(D61,Products!$A$4:$A$23,Products!$B$4:$B$23,"Not found")</f>
        <v>#NAME?</v>
      </c>
      <c r="R61" s="2" t="e">
        <f ca="1">_xludf.XLOOKUP(D61,Products!$A$4:$A$23,Products!$C$4:$C$23,"Not found")</f>
        <v>#NAME?</v>
      </c>
      <c r="S61" s="2" t="e">
        <f ca="1">_xludf.XLOOKUP(E61,Sales_Reps!$A$4:$A$11,Sales_Reps!$B$4:$B$11,"Not found")</f>
        <v>#NAME?</v>
      </c>
      <c r="T61" s="2" t="e">
        <f ca="1">_xludf.XLOOKUP(E61,Sales_Reps!$A$4:$A$11,Sales_Reps!$C$4:$C$11,"Not found")</f>
        <v>#NAME?</v>
      </c>
      <c r="U61" s="2"/>
      <c r="V61" s="2"/>
      <c r="W61" s="2"/>
      <c r="X61" s="2"/>
      <c r="Y61" s="2"/>
      <c r="Z61" s="2"/>
    </row>
    <row r="62" spans="1:26">
      <c r="A62" s="2" t="s">
        <v>366</v>
      </c>
      <c r="B62" s="6">
        <v>46062</v>
      </c>
      <c r="C62" s="2" t="s">
        <v>227</v>
      </c>
      <c r="D62" s="2" t="s">
        <v>70</v>
      </c>
      <c r="E62" s="2" t="s">
        <v>290</v>
      </c>
      <c r="F62" s="2">
        <v>1</v>
      </c>
      <c r="G62" s="4">
        <v>1200</v>
      </c>
      <c r="H62" s="5">
        <v>0.1</v>
      </c>
      <c r="I62" s="4">
        <v>1080</v>
      </c>
      <c r="J62" s="4">
        <v>302.39999999999998</v>
      </c>
      <c r="K62" s="2" t="s">
        <v>306</v>
      </c>
      <c r="L62" s="2" t="e">
        <f ca="1">_xludf.XLOOKUP(C62,Customers!$A$4:$A$53,Customers!$B$4:$B$53,"Not found")</f>
        <v>#NAME?</v>
      </c>
      <c r="M62" s="2" t="e">
        <f ca="1">_xludf.XLOOKUP(C62,Customers!$A$4:$A$53,Customers!$C$4:$C$53,"Not found")</f>
        <v>#NAME?</v>
      </c>
      <c r="N62" s="2" t="e">
        <f ca="1">_xludf.XLOOKUP(C62,Customers!$A$4:$A$53,Customers!$D$4:$D$53,"Not found")</f>
        <v>#NAME?</v>
      </c>
      <c r="O62" s="2" t="e">
        <f ca="1">_xludf.XLOOKUP(C62,Customers!$A$4:$A$53,Customers!$E$4:$E$53,"Not found")</f>
        <v>#NAME?</v>
      </c>
      <c r="P62" s="2" t="e">
        <f ca="1">_xludf.XLOOKUP(C62,Customers!$A$4:$A$53,Customers!$F$4:$F$53,"Not found")</f>
        <v>#NAME?</v>
      </c>
      <c r="Q62" s="2" t="e">
        <f ca="1">_xludf.XLOOKUP(D62,Products!$A$4:$A$23,Products!$B$4:$B$23,"Not found")</f>
        <v>#NAME?</v>
      </c>
      <c r="R62" s="2" t="e">
        <f ca="1">_xludf.XLOOKUP(D62,Products!$A$4:$A$23,Products!$C$4:$C$23,"Not found")</f>
        <v>#NAME?</v>
      </c>
      <c r="S62" s="2" t="e">
        <f ca="1">_xludf.XLOOKUP(E62,Sales_Reps!$A$4:$A$11,Sales_Reps!$B$4:$B$11,"Not found")</f>
        <v>#NAME?</v>
      </c>
      <c r="T62" s="2" t="e">
        <f ca="1">_xludf.XLOOKUP(E62,Sales_Reps!$A$4:$A$11,Sales_Reps!$C$4:$C$11,"Not found")</f>
        <v>#NAME?</v>
      </c>
      <c r="U62" s="2"/>
      <c r="V62" s="2"/>
      <c r="W62" s="2"/>
      <c r="X62" s="2"/>
      <c r="Y62" s="2"/>
      <c r="Z62" s="2"/>
    </row>
    <row r="63" spans="1:26" ht="15">
      <c r="A63" s="2" t="s">
        <v>367</v>
      </c>
      <c r="B63" s="6">
        <v>46088</v>
      </c>
      <c r="C63" s="2" t="s">
        <v>136</v>
      </c>
      <c r="D63" s="2" t="s">
        <v>269</v>
      </c>
      <c r="E63" s="2" t="s">
        <v>284</v>
      </c>
      <c r="F63" s="2">
        <v>8</v>
      </c>
      <c r="G63" s="4">
        <v>1100</v>
      </c>
      <c r="H63" s="5">
        <v>0.15</v>
      </c>
      <c r="I63" s="4">
        <v>7480</v>
      </c>
      <c r="J63" s="4">
        <v>5086.3999999999996</v>
      </c>
      <c r="K63" s="2" t="s">
        <v>306</v>
      </c>
      <c r="L63" s="2" t="e">
        <f ca="1">_xludf.XLOOKUP(C63,Customers!$A$4:$A$53,Customers!$B$4:$B$53,"Not found")</f>
        <v>#NAME?</v>
      </c>
      <c r="M63" s="2" t="e">
        <f ca="1">_xludf.XLOOKUP(C63,Customers!$A$4:$A$53,Customers!$C$4:$C$53,"Not found")</f>
        <v>#NAME?</v>
      </c>
      <c r="N63" s="2" t="e">
        <f ca="1">_xludf.XLOOKUP(C63,Customers!$A$4:$A$53,Customers!$D$4:$D$53,"Not found")</f>
        <v>#NAME?</v>
      </c>
      <c r="O63" s="2" t="e">
        <f ca="1">_xludf.XLOOKUP(C63,Customers!$A$4:$A$53,Customers!$E$4:$E$53,"Not found")</f>
        <v>#NAME?</v>
      </c>
      <c r="P63" s="2" t="e">
        <f ca="1">_xludf.XLOOKUP(C63,Customers!$A$4:$A$53,Customers!$F$4:$F$53,"Not found")</f>
        <v>#NAME?</v>
      </c>
      <c r="Q63" s="2" t="e">
        <f ca="1">_xludf.XLOOKUP(D63,Products!$A$4:$A$23,Products!$B$4:$B$23,"Not found")</f>
        <v>#NAME?</v>
      </c>
      <c r="R63" s="2" t="e">
        <f ca="1">_xludf.XLOOKUP(D63,Products!$A$4:$A$23,Products!$C$4:$C$23,"Not found")</f>
        <v>#NAME?</v>
      </c>
      <c r="S63" s="2" t="e">
        <f ca="1">_xludf.XLOOKUP(E63,Sales_Reps!$A$4:$A$11,Sales_Reps!$B$4:$B$11,"Not found")</f>
        <v>#NAME?</v>
      </c>
      <c r="T63" s="2" t="e">
        <f ca="1">_xludf.XLOOKUP(E63,Sales_Reps!$A$4:$A$11,Sales_Reps!$C$4:$C$11,"Not found")</f>
        <v>#NAME?</v>
      </c>
      <c r="U63" s="2"/>
      <c r="V63" s="2"/>
      <c r="W63" s="2"/>
      <c r="X63" s="2"/>
      <c r="Y63" s="2"/>
      <c r="Z63" s="2"/>
    </row>
    <row r="64" spans="1:26">
      <c r="A64" s="2" t="s">
        <v>368</v>
      </c>
      <c r="B64" s="6">
        <v>46050</v>
      </c>
      <c r="C64" s="2" t="s">
        <v>143</v>
      </c>
      <c r="D64" s="2" t="s">
        <v>277</v>
      </c>
      <c r="E64" s="2" t="s">
        <v>290</v>
      </c>
      <c r="F64" s="2">
        <v>3</v>
      </c>
      <c r="G64" s="4">
        <v>900</v>
      </c>
      <c r="H64" s="5">
        <v>0</v>
      </c>
      <c r="I64" s="4">
        <v>2700</v>
      </c>
      <c r="J64" s="4">
        <v>702</v>
      </c>
      <c r="K64" s="2" t="s">
        <v>313</v>
      </c>
      <c r="L64" s="2" t="e">
        <f ca="1">_xludf.XLOOKUP(C64,Customers!$A$4:$A$53,Customers!$B$4:$B$53,"Not found")</f>
        <v>#NAME?</v>
      </c>
      <c r="M64" s="2" t="e">
        <f ca="1">_xludf.XLOOKUP(C64,Customers!$A$4:$A$53,Customers!$C$4:$C$53,"Not found")</f>
        <v>#NAME?</v>
      </c>
      <c r="N64" s="2" t="e">
        <f ca="1">_xludf.XLOOKUP(C64,Customers!$A$4:$A$53,Customers!$D$4:$D$53,"Not found")</f>
        <v>#NAME?</v>
      </c>
      <c r="O64" s="2" t="e">
        <f ca="1">_xludf.XLOOKUP(C64,Customers!$A$4:$A$53,Customers!$E$4:$E$53,"Not found")</f>
        <v>#NAME?</v>
      </c>
      <c r="P64" s="2" t="e">
        <f ca="1">_xludf.XLOOKUP(C64,Customers!$A$4:$A$53,Customers!$F$4:$F$53,"Not found")</f>
        <v>#NAME?</v>
      </c>
      <c r="Q64" s="2" t="e">
        <f ca="1">_xludf.XLOOKUP(D64,Products!$A$4:$A$23,Products!$B$4:$B$23,"Not found")</f>
        <v>#NAME?</v>
      </c>
      <c r="R64" s="2" t="e">
        <f ca="1">_xludf.XLOOKUP(D64,Products!$A$4:$A$23,Products!$C$4:$C$23,"Not found")</f>
        <v>#NAME?</v>
      </c>
      <c r="S64" s="2" t="e">
        <f ca="1">_xludf.XLOOKUP(E64,Sales_Reps!$A$4:$A$11,Sales_Reps!$B$4:$B$11,"Not found")</f>
        <v>#NAME?</v>
      </c>
      <c r="T64" s="2" t="e">
        <f ca="1">_xludf.XLOOKUP(E64,Sales_Reps!$A$4:$A$11,Sales_Reps!$C$4:$C$11,"Not found")</f>
        <v>#NAME?</v>
      </c>
      <c r="U64" s="2"/>
      <c r="V64" s="2"/>
      <c r="W64" s="2"/>
      <c r="X64" s="2"/>
      <c r="Y64" s="2"/>
      <c r="Z64" s="2"/>
    </row>
    <row r="65" spans="1:26" ht="15">
      <c r="A65" s="2" t="s">
        <v>369</v>
      </c>
      <c r="B65" s="6">
        <v>46073</v>
      </c>
      <c r="C65" s="2" t="s">
        <v>108</v>
      </c>
      <c r="D65" s="2" t="s">
        <v>257</v>
      </c>
      <c r="E65" s="2" t="s">
        <v>298</v>
      </c>
      <c r="F65" s="2">
        <v>7</v>
      </c>
      <c r="G65" s="4">
        <v>1200</v>
      </c>
      <c r="H65" s="5">
        <v>0.15</v>
      </c>
      <c r="I65" s="4">
        <v>7140</v>
      </c>
      <c r="J65" s="4">
        <v>4284</v>
      </c>
      <c r="K65" s="2" t="s">
        <v>306</v>
      </c>
      <c r="L65" s="2" t="e">
        <f ca="1">_xludf.XLOOKUP(C65,Customers!$A$4:$A$53,Customers!$B$4:$B$53,"Not found")</f>
        <v>#NAME?</v>
      </c>
      <c r="M65" s="2" t="e">
        <f ca="1">_xludf.XLOOKUP(C65,Customers!$A$4:$A$53,Customers!$C$4:$C$53,"Not found")</f>
        <v>#NAME?</v>
      </c>
      <c r="N65" s="2" t="e">
        <f ca="1">_xludf.XLOOKUP(C65,Customers!$A$4:$A$53,Customers!$D$4:$D$53,"Not found")</f>
        <v>#NAME?</v>
      </c>
      <c r="O65" s="2" t="e">
        <f ca="1">_xludf.XLOOKUP(C65,Customers!$A$4:$A$53,Customers!$E$4:$E$53,"Not found")</f>
        <v>#NAME?</v>
      </c>
      <c r="P65" s="2" t="e">
        <f ca="1">_xludf.XLOOKUP(C65,Customers!$A$4:$A$53,Customers!$F$4:$F$53,"Not found")</f>
        <v>#NAME?</v>
      </c>
      <c r="Q65" s="2" t="e">
        <f ca="1">_xludf.XLOOKUP(D65,Products!$A$4:$A$23,Products!$B$4:$B$23,"Not found")</f>
        <v>#NAME?</v>
      </c>
      <c r="R65" s="2" t="e">
        <f ca="1">_xludf.XLOOKUP(D65,Products!$A$4:$A$23,Products!$C$4:$C$23,"Not found")</f>
        <v>#NAME?</v>
      </c>
      <c r="S65" s="2" t="e">
        <f ca="1">_xludf.XLOOKUP(E65,Sales_Reps!$A$4:$A$11,Sales_Reps!$B$4:$B$11,"Not found")</f>
        <v>#NAME?</v>
      </c>
      <c r="T65" s="2" t="e">
        <f ca="1">_xludf.XLOOKUP(E65,Sales_Reps!$A$4:$A$11,Sales_Reps!$C$4:$C$11,"Not found")</f>
        <v>#NAME?</v>
      </c>
      <c r="U65" s="2"/>
      <c r="V65" s="2"/>
      <c r="W65" s="2"/>
      <c r="X65" s="2"/>
      <c r="Y65" s="2"/>
      <c r="Z65" s="2"/>
    </row>
    <row r="66" spans="1:26">
      <c r="A66" s="2" t="s">
        <v>370</v>
      </c>
      <c r="B66" s="6">
        <v>46033</v>
      </c>
      <c r="C66" s="2" t="s">
        <v>204</v>
      </c>
      <c r="D66" s="2" t="s">
        <v>252</v>
      </c>
      <c r="E66" s="2" t="s">
        <v>292</v>
      </c>
      <c r="F66" s="2">
        <v>2</v>
      </c>
      <c r="G66" s="4">
        <v>900</v>
      </c>
      <c r="H66" s="5">
        <v>0.1</v>
      </c>
      <c r="I66" s="4">
        <v>1620</v>
      </c>
      <c r="J66" s="4">
        <v>1134</v>
      </c>
      <c r="K66" s="2" t="s">
        <v>306</v>
      </c>
      <c r="L66" s="2" t="e">
        <f ca="1">_xludf.XLOOKUP(C66,Customers!$A$4:$A$53,Customers!$B$4:$B$53,"Not found")</f>
        <v>#NAME?</v>
      </c>
      <c r="M66" s="2" t="e">
        <f ca="1">_xludf.XLOOKUP(C66,Customers!$A$4:$A$53,Customers!$C$4:$C$53,"Not found")</f>
        <v>#NAME?</v>
      </c>
      <c r="N66" s="2" t="e">
        <f ca="1">_xludf.XLOOKUP(C66,Customers!$A$4:$A$53,Customers!$D$4:$D$53,"Not found")</f>
        <v>#NAME?</v>
      </c>
      <c r="O66" s="2" t="e">
        <f ca="1">_xludf.XLOOKUP(C66,Customers!$A$4:$A$53,Customers!$E$4:$E$53,"Not found")</f>
        <v>#NAME?</v>
      </c>
      <c r="P66" s="2" t="e">
        <f ca="1">_xludf.XLOOKUP(C66,Customers!$A$4:$A$53,Customers!$F$4:$F$53,"Not found")</f>
        <v>#NAME?</v>
      </c>
      <c r="Q66" s="2" t="e">
        <f ca="1">_xludf.XLOOKUP(D66,Products!$A$4:$A$23,Products!$B$4:$B$23,"Not found")</f>
        <v>#NAME?</v>
      </c>
      <c r="R66" s="2" t="e">
        <f ca="1">_xludf.XLOOKUP(D66,Products!$A$4:$A$23,Products!$C$4:$C$23,"Not found")</f>
        <v>#NAME?</v>
      </c>
      <c r="S66" s="2" t="e">
        <f ca="1">_xludf.XLOOKUP(E66,Sales_Reps!$A$4:$A$11,Sales_Reps!$B$4:$B$11,"Not found")</f>
        <v>#NAME?</v>
      </c>
      <c r="T66" s="2" t="e">
        <f ca="1">_xludf.XLOOKUP(E66,Sales_Reps!$A$4:$A$11,Sales_Reps!$C$4:$C$11,"Not found")</f>
        <v>#NAME?</v>
      </c>
      <c r="U66" s="2"/>
      <c r="V66" s="2"/>
      <c r="W66" s="2"/>
      <c r="X66" s="2"/>
      <c r="Y66" s="2"/>
      <c r="Z66" s="2"/>
    </row>
    <row r="67" spans="1:26">
      <c r="A67" s="2" t="s">
        <v>371</v>
      </c>
      <c r="B67" s="6">
        <v>46130</v>
      </c>
      <c r="C67" s="2" t="s">
        <v>197</v>
      </c>
      <c r="D67" s="2" t="s">
        <v>265</v>
      </c>
      <c r="E67" s="2" t="s">
        <v>284</v>
      </c>
      <c r="F67" s="2">
        <v>6</v>
      </c>
      <c r="G67" s="4">
        <v>650</v>
      </c>
      <c r="H67" s="5">
        <v>0</v>
      </c>
      <c r="I67" s="4">
        <v>3900</v>
      </c>
      <c r="J67" s="4">
        <v>1248</v>
      </c>
      <c r="K67" s="2" t="s">
        <v>309</v>
      </c>
      <c r="L67" s="2" t="e">
        <f ca="1">_xludf.XLOOKUP(C67,Customers!$A$4:$A$53,Customers!$B$4:$B$53,"Not found")</f>
        <v>#NAME?</v>
      </c>
      <c r="M67" s="2" t="e">
        <f ca="1">_xludf.XLOOKUP(C67,Customers!$A$4:$A$53,Customers!$C$4:$C$53,"Not found")</f>
        <v>#NAME?</v>
      </c>
      <c r="N67" s="2" t="e">
        <f ca="1">_xludf.XLOOKUP(C67,Customers!$A$4:$A$53,Customers!$D$4:$D$53,"Not found")</f>
        <v>#NAME?</v>
      </c>
      <c r="O67" s="2" t="e">
        <f ca="1">_xludf.XLOOKUP(C67,Customers!$A$4:$A$53,Customers!$E$4:$E$53,"Not found")</f>
        <v>#NAME?</v>
      </c>
      <c r="P67" s="2" t="e">
        <f ca="1">_xludf.XLOOKUP(C67,Customers!$A$4:$A$53,Customers!$F$4:$F$53,"Not found")</f>
        <v>#NAME?</v>
      </c>
      <c r="Q67" s="2" t="e">
        <f ca="1">_xludf.XLOOKUP(D67,Products!$A$4:$A$23,Products!$B$4:$B$23,"Not found")</f>
        <v>#NAME?</v>
      </c>
      <c r="R67" s="2" t="e">
        <f ca="1">_xludf.XLOOKUP(D67,Products!$A$4:$A$23,Products!$C$4:$C$23,"Not found")</f>
        <v>#NAME?</v>
      </c>
      <c r="S67" s="2" t="e">
        <f ca="1">_xludf.XLOOKUP(E67,Sales_Reps!$A$4:$A$11,Sales_Reps!$B$4:$B$11,"Not found")</f>
        <v>#NAME?</v>
      </c>
      <c r="T67" s="2" t="e">
        <f ca="1">_xludf.XLOOKUP(E67,Sales_Reps!$A$4:$A$11,Sales_Reps!$C$4:$C$11,"Not found")</f>
        <v>#NAME?</v>
      </c>
      <c r="U67" s="2"/>
      <c r="V67" s="2"/>
      <c r="W67" s="2"/>
      <c r="X67" s="2"/>
      <c r="Y67" s="2"/>
      <c r="Z67" s="2"/>
    </row>
    <row r="68" spans="1:26">
      <c r="A68" s="2" t="s">
        <v>372</v>
      </c>
      <c r="B68" s="6">
        <v>46068</v>
      </c>
      <c r="C68" s="2" t="s">
        <v>128</v>
      </c>
      <c r="D68" s="2" t="s">
        <v>265</v>
      </c>
      <c r="E68" s="2" t="s">
        <v>298</v>
      </c>
      <c r="F68" s="2">
        <v>3</v>
      </c>
      <c r="G68" s="4">
        <v>650</v>
      </c>
      <c r="H68" s="5">
        <v>0.05</v>
      </c>
      <c r="I68" s="4">
        <v>1852.5</v>
      </c>
      <c r="J68" s="4">
        <v>592.79999999999995</v>
      </c>
      <c r="K68" s="2" t="s">
        <v>313</v>
      </c>
      <c r="L68" s="2" t="e">
        <f ca="1">_xludf.XLOOKUP(C68,Customers!$A$4:$A$53,Customers!$B$4:$B$53,"Not found")</f>
        <v>#NAME?</v>
      </c>
      <c r="M68" s="2" t="e">
        <f ca="1">_xludf.XLOOKUP(C68,Customers!$A$4:$A$53,Customers!$C$4:$C$53,"Not found")</f>
        <v>#NAME?</v>
      </c>
      <c r="N68" s="2" t="e">
        <f ca="1">_xludf.XLOOKUP(C68,Customers!$A$4:$A$53,Customers!$D$4:$D$53,"Not found")</f>
        <v>#NAME?</v>
      </c>
      <c r="O68" s="2" t="e">
        <f ca="1">_xludf.XLOOKUP(C68,Customers!$A$4:$A$53,Customers!$E$4:$E$53,"Not found")</f>
        <v>#NAME?</v>
      </c>
      <c r="P68" s="2" t="e">
        <f ca="1">_xludf.XLOOKUP(C68,Customers!$A$4:$A$53,Customers!$F$4:$F$53,"Not found")</f>
        <v>#NAME?</v>
      </c>
      <c r="Q68" s="2" t="e">
        <f ca="1">_xludf.XLOOKUP(D68,Products!$A$4:$A$23,Products!$B$4:$B$23,"Not found")</f>
        <v>#NAME?</v>
      </c>
      <c r="R68" s="2" t="e">
        <f ca="1">_xludf.XLOOKUP(D68,Products!$A$4:$A$23,Products!$C$4:$C$23,"Not found")</f>
        <v>#NAME?</v>
      </c>
      <c r="S68" s="2" t="e">
        <f ca="1">_xludf.XLOOKUP(E68,Sales_Reps!$A$4:$A$11,Sales_Reps!$B$4:$B$11,"Not found")</f>
        <v>#NAME?</v>
      </c>
      <c r="T68" s="2" t="e">
        <f ca="1">_xludf.XLOOKUP(E68,Sales_Reps!$A$4:$A$11,Sales_Reps!$C$4:$C$11,"Not found")</f>
        <v>#NAME?</v>
      </c>
      <c r="U68" s="2"/>
      <c r="V68" s="2"/>
      <c r="W68" s="2"/>
      <c r="X68" s="2"/>
      <c r="Y68" s="2"/>
      <c r="Z68" s="2"/>
    </row>
    <row r="69" spans="1:26" ht="15">
      <c r="A69" s="2" t="s">
        <v>373</v>
      </c>
      <c r="B69" s="6">
        <v>46091</v>
      </c>
      <c r="C69" s="2" t="s">
        <v>212</v>
      </c>
      <c r="D69" s="2" t="s">
        <v>254</v>
      </c>
      <c r="E69" s="2" t="s">
        <v>298</v>
      </c>
      <c r="F69" s="2">
        <v>8</v>
      </c>
      <c r="G69" s="4">
        <v>3500</v>
      </c>
      <c r="H69" s="5">
        <v>0.05</v>
      </c>
      <c r="I69" s="4">
        <v>26600</v>
      </c>
      <c r="J69" s="4">
        <v>14630</v>
      </c>
      <c r="K69" s="2" t="s">
        <v>306</v>
      </c>
      <c r="L69" s="2" t="e">
        <f ca="1">_xludf.XLOOKUP(C69,Customers!$A$4:$A$53,Customers!$B$4:$B$53,"Not found")</f>
        <v>#NAME?</v>
      </c>
      <c r="M69" s="2" t="e">
        <f ca="1">_xludf.XLOOKUP(C69,Customers!$A$4:$A$53,Customers!$C$4:$C$53,"Not found")</f>
        <v>#NAME?</v>
      </c>
      <c r="N69" s="2" t="e">
        <f ca="1">_xludf.XLOOKUP(C69,Customers!$A$4:$A$53,Customers!$D$4:$D$53,"Not found")</f>
        <v>#NAME?</v>
      </c>
      <c r="O69" s="2" t="e">
        <f ca="1">_xludf.XLOOKUP(C69,Customers!$A$4:$A$53,Customers!$E$4:$E$53,"Not found")</f>
        <v>#NAME?</v>
      </c>
      <c r="P69" s="2" t="e">
        <f ca="1">_xludf.XLOOKUP(C69,Customers!$A$4:$A$53,Customers!$F$4:$F$53,"Not found")</f>
        <v>#NAME?</v>
      </c>
      <c r="Q69" s="2" t="e">
        <f ca="1">_xludf.XLOOKUP(D69,Products!$A$4:$A$23,Products!$B$4:$B$23,"Not found")</f>
        <v>#NAME?</v>
      </c>
      <c r="R69" s="2" t="e">
        <f ca="1">_xludf.XLOOKUP(D69,Products!$A$4:$A$23,Products!$C$4:$C$23,"Not found")</f>
        <v>#NAME?</v>
      </c>
      <c r="S69" s="2" t="e">
        <f ca="1">_xludf.XLOOKUP(E69,Sales_Reps!$A$4:$A$11,Sales_Reps!$B$4:$B$11,"Not found")</f>
        <v>#NAME?</v>
      </c>
      <c r="T69" s="2" t="e">
        <f ca="1">_xludf.XLOOKUP(E69,Sales_Reps!$A$4:$A$11,Sales_Reps!$C$4:$C$11,"Not found")</f>
        <v>#NAME?</v>
      </c>
      <c r="U69" s="2"/>
      <c r="V69" s="2"/>
      <c r="W69" s="2"/>
      <c r="X69" s="2"/>
      <c r="Y69" s="2"/>
      <c r="Z69" s="2"/>
    </row>
    <row r="70" spans="1:26">
      <c r="A70" s="2" t="s">
        <v>374</v>
      </c>
      <c r="B70" s="6">
        <v>46168</v>
      </c>
      <c r="C70" s="2" t="s">
        <v>156</v>
      </c>
      <c r="D70" s="2" t="s">
        <v>240</v>
      </c>
      <c r="E70" s="2" t="s">
        <v>298</v>
      </c>
      <c r="F70" s="2">
        <v>4</v>
      </c>
      <c r="G70" s="4">
        <v>300</v>
      </c>
      <c r="H70" s="5">
        <v>0.05</v>
      </c>
      <c r="I70" s="4">
        <v>1140</v>
      </c>
      <c r="J70" s="4">
        <v>342</v>
      </c>
      <c r="K70" s="2" t="s">
        <v>313</v>
      </c>
      <c r="L70" s="2" t="e">
        <f ca="1">_xludf.XLOOKUP(C70,Customers!$A$4:$A$53,Customers!$B$4:$B$53,"Not found")</f>
        <v>#NAME?</v>
      </c>
      <c r="M70" s="2" t="e">
        <f ca="1">_xludf.XLOOKUP(C70,Customers!$A$4:$A$53,Customers!$C$4:$C$53,"Not found")</f>
        <v>#NAME?</v>
      </c>
      <c r="N70" s="2" t="e">
        <f ca="1">_xludf.XLOOKUP(C70,Customers!$A$4:$A$53,Customers!$D$4:$D$53,"Not found")</f>
        <v>#NAME?</v>
      </c>
      <c r="O70" s="2" t="e">
        <f ca="1">_xludf.XLOOKUP(C70,Customers!$A$4:$A$53,Customers!$E$4:$E$53,"Not found")</f>
        <v>#NAME?</v>
      </c>
      <c r="P70" s="2" t="e">
        <f ca="1">_xludf.XLOOKUP(C70,Customers!$A$4:$A$53,Customers!$F$4:$F$53,"Not found")</f>
        <v>#NAME?</v>
      </c>
      <c r="Q70" s="2" t="e">
        <f ca="1">_xludf.XLOOKUP(D70,Products!$A$4:$A$23,Products!$B$4:$B$23,"Not found")</f>
        <v>#NAME?</v>
      </c>
      <c r="R70" s="2" t="e">
        <f ca="1">_xludf.XLOOKUP(D70,Products!$A$4:$A$23,Products!$C$4:$C$23,"Not found")</f>
        <v>#NAME?</v>
      </c>
      <c r="S70" s="2" t="e">
        <f ca="1">_xludf.XLOOKUP(E70,Sales_Reps!$A$4:$A$11,Sales_Reps!$B$4:$B$11,"Not found")</f>
        <v>#NAME?</v>
      </c>
      <c r="T70" s="2" t="e">
        <f ca="1">_xludf.XLOOKUP(E70,Sales_Reps!$A$4:$A$11,Sales_Reps!$C$4:$C$11,"Not found")</f>
        <v>#NAME?</v>
      </c>
      <c r="U70" s="2"/>
      <c r="V70" s="2"/>
      <c r="W70" s="2"/>
      <c r="X70" s="2"/>
      <c r="Y70" s="2"/>
      <c r="Z70" s="2"/>
    </row>
    <row r="71" spans="1:26">
      <c r="A71" s="2" t="s">
        <v>375</v>
      </c>
      <c r="B71" s="6">
        <v>46147</v>
      </c>
      <c r="C71" s="2" t="s">
        <v>215</v>
      </c>
      <c r="D71" s="2" t="s">
        <v>263</v>
      </c>
      <c r="E71" s="2" t="s">
        <v>296</v>
      </c>
      <c r="F71" s="2">
        <v>6</v>
      </c>
      <c r="G71" s="4">
        <v>800</v>
      </c>
      <c r="H71" s="5">
        <v>0</v>
      </c>
      <c r="I71" s="4">
        <v>4800</v>
      </c>
      <c r="J71" s="4">
        <v>1296</v>
      </c>
      <c r="K71" s="2" t="s">
        <v>306</v>
      </c>
      <c r="L71" s="2" t="e">
        <f ca="1">_xludf.XLOOKUP(C71,Customers!$A$4:$A$53,Customers!$B$4:$B$53,"Not found")</f>
        <v>#NAME?</v>
      </c>
      <c r="M71" s="2" t="e">
        <f ca="1">_xludf.XLOOKUP(C71,Customers!$A$4:$A$53,Customers!$C$4:$C$53,"Not found")</f>
        <v>#NAME?</v>
      </c>
      <c r="N71" s="2" t="e">
        <f ca="1">_xludf.XLOOKUP(C71,Customers!$A$4:$A$53,Customers!$D$4:$D$53,"Not found")</f>
        <v>#NAME?</v>
      </c>
      <c r="O71" s="2" t="e">
        <f ca="1">_xludf.XLOOKUP(C71,Customers!$A$4:$A$53,Customers!$E$4:$E$53,"Not found")</f>
        <v>#NAME?</v>
      </c>
      <c r="P71" s="2" t="e">
        <f ca="1">_xludf.XLOOKUP(C71,Customers!$A$4:$A$53,Customers!$F$4:$F$53,"Not found")</f>
        <v>#NAME?</v>
      </c>
      <c r="Q71" s="2" t="e">
        <f ca="1">_xludf.XLOOKUP(D71,Products!$A$4:$A$23,Products!$B$4:$B$23,"Not found")</f>
        <v>#NAME?</v>
      </c>
      <c r="R71" s="2" t="e">
        <f ca="1">_xludf.XLOOKUP(D71,Products!$A$4:$A$23,Products!$C$4:$C$23,"Not found")</f>
        <v>#NAME?</v>
      </c>
      <c r="S71" s="2" t="e">
        <f ca="1">_xludf.XLOOKUP(E71,Sales_Reps!$A$4:$A$11,Sales_Reps!$B$4:$B$11,"Not found")</f>
        <v>#NAME?</v>
      </c>
      <c r="T71" s="2" t="e">
        <f ca="1">_xludf.XLOOKUP(E71,Sales_Reps!$A$4:$A$11,Sales_Reps!$C$4:$C$11,"Not found")</f>
        <v>#NAME?</v>
      </c>
      <c r="U71" s="2"/>
      <c r="V71" s="2"/>
      <c r="W71" s="2"/>
      <c r="X71" s="2"/>
      <c r="Y71" s="2"/>
      <c r="Z71" s="2"/>
    </row>
    <row r="72" spans="1:26">
      <c r="A72" s="2" t="s">
        <v>376</v>
      </c>
      <c r="B72" s="6">
        <v>46071</v>
      </c>
      <c r="C72" s="2" t="s">
        <v>171</v>
      </c>
      <c r="D72" s="2" t="s">
        <v>254</v>
      </c>
      <c r="E72" s="2" t="s">
        <v>298</v>
      </c>
      <c r="F72" s="2">
        <v>1</v>
      </c>
      <c r="G72" s="4">
        <v>3500</v>
      </c>
      <c r="H72" s="5">
        <v>0.1</v>
      </c>
      <c r="I72" s="4">
        <v>3150</v>
      </c>
      <c r="J72" s="4">
        <v>1732.5</v>
      </c>
      <c r="K72" s="2" t="s">
        <v>306</v>
      </c>
      <c r="L72" s="2" t="e">
        <f ca="1">_xludf.XLOOKUP(C72,Customers!$A$4:$A$53,Customers!$B$4:$B$53,"Not found")</f>
        <v>#NAME?</v>
      </c>
      <c r="M72" s="2" t="e">
        <f ca="1">_xludf.XLOOKUP(C72,Customers!$A$4:$A$53,Customers!$C$4:$C$53,"Not found")</f>
        <v>#NAME?</v>
      </c>
      <c r="N72" s="2" t="e">
        <f ca="1">_xludf.XLOOKUP(C72,Customers!$A$4:$A$53,Customers!$D$4:$D$53,"Not found")</f>
        <v>#NAME?</v>
      </c>
      <c r="O72" s="2" t="e">
        <f ca="1">_xludf.XLOOKUP(C72,Customers!$A$4:$A$53,Customers!$E$4:$E$53,"Not found")</f>
        <v>#NAME?</v>
      </c>
      <c r="P72" s="2" t="e">
        <f ca="1">_xludf.XLOOKUP(C72,Customers!$A$4:$A$53,Customers!$F$4:$F$53,"Not found")</f>
        <v>#NAME?</v>
      </c>
      <c r="Q72" s="2" t="e">
        <f ca="1">_xludf.XLOOKUP(D72,Products!$A$4:$A$23,Products!$B$4:$B$23,"Not found")</f>
        <v>#NAME?</v>
      </c>
      <c r="R72" s="2" t="e">
        <f ca="1">_xludf.XLOOKUP(D72,Products!$A$4:$A$23,Products!$C$4:$C$23,"Not found")</f>
        <v>#NAME?</v>
      </c>
      <c r="S72" s="2" t="e">
        <f ca="1">_xludf.XLOOKUP(E72,Sales_Reps!$A$4:$A$11,Sales_Reps!$B$4:$B$11,"Not found")</f>
        <v>#NAME?</v>
      </c>
      <c r="T72" s="2" t="e">
        <f ca="1">_xludf.XLOOKUP(E72,Sales_Reps!$A$4:$A$11,Sales_Reps!$C$4:$C$11,"Not found")</f>
        <v>#NAME?</v>
      </c>
      <c r="U72" s="2"/>
      <c r="V72" s="2"/>
      <c r="W72" s="2"/>
      <c r="X72" s="2"/>
      <c r="Y72" s="2"/>
      <c r="Z72" s="2"/>
    </row>
    <row r="73" spans="1:26">
      <c r="A73" s="2" t="s">
        <v>377</v>
      </c>
      <c r="B73" s="6">
        <v>46148</v>
      </c>
      <c r="C73" s="2" t="s">
        <v>156</v>
      </c>
      <c r="D73" s="2" t="s">
        <v>265</v>
      </c>
      <c r="E73" s="2" t="s">
        <v>290</v>
      </c>
      <c r="F73" s="2">
        <v>8</v>
      </c>
      <c r="G73" s="4">
        <v>650</v>
      </c>
      <c r="H73" s="5">
        <v>0.15</v>
      </c>
      <c r="I73" s="4">
        <v>4420</v>
      </c>
      <c r="J73" s="4">
        <v>1414.4</v>
      </c>
      <c r="K73" s="2" t="s">
        <v>309</v>
      </c>
      <c r="L73" s="2" t="e">
        <f ca="1">_xludf.XLOOKUP(C73,Customers!$A$4:$A$53,Customers!$B$4:$B$53,"Not found")</f>
        <v>#NAME?</v>
      </c>
      <c r="M73" s="2" t="e">
        <f ca="1">_xludf.XLOOKUP(C73,Customers!$A$4:$A$53,Customers!$C$4:$C$53,"Not found")</f>
        <v>#NAME?</v>
      </c>
      <c r="N73" s="2" t="e">
        <f ca="1">_xludf.XLOOKUP(C73,Customers!$A$4:$A$53,Customers!$D$4:$D$53,"Not found")</f>
        <v>#NAME?</v>
      </c>
      <c r="O73" s="2" t="e">
        <f ca="1">_xludf.XLOOKUP(C73,Customers!$A$4:$A$53,Customers!$E$4:$E$53,"Not found")</f>
        <v>#NAME?</v>
      </c>
      <c r="P73" s="2" t="e">
        <f ca="1">_xludf.XLOOKUP(C73,Customers!$A$4:$A$53,Customers!$F$4:$F$53,"Not found")</f>
        <v>#NAME?</v>
      </c>
      <c r="Q73" s="2" t="e">
        <f ca="1">_xludf.XLOOKUP(D73,Products!$A$4:$A$23,Products!$B$4:$B$23,"Not found")</f>
        <v>#NAME?</v>
      </c>
      <c r="R73" s="2" t="e">
        <f ca="1">_xludf.XLOOKUP(D73,Products!$A$4:$A$23,Products!$C$4:$C$23,"Not found")</f>
        <v>#NAME?</v>
      </c>
      <c r="S73" s="2" t="e">
        <f ca="1">_xludf.XLOOKUP(E73,Sales_Reps!$A$4:$A$11,Sales_Reps!$B$4:$B$11,"Not found")</f>
        <v>#NAME?</v>
      </c>
      <c r="T73" s="2" t="e">
        <f ca="1">_xludf.XLOOKUP(E73,Sales_Reps!$A$4:$A$11,Sales_Reps!$C$4:$C$11,"Not found")</f>
        <v>#NAME?</v>
      </c>
      <c r="U73" s="2"/>
      <c r="V73" s="2"/>
      <c r="W73" s="2"/>
      <c r="X73" s="2"/>
      <c r="Y73" s="2"/>
      <c r="Z73" s="2"/>
    </row>
    <row r="74" spans="1:26">
      <c r="A74" s="2" t="s">
        <v>378</v>
      </c>
      <c r="B74" s="6">
        <v>46171</v>
      </c>
      <c r="C74" s="2" t="s">
        <v>108</v>
      </c>
      <c r="D74" s="2" t="s">
        <v>240</v>
      </c>
      <c r="E74" s="2" t="s">
        <v>298</v>
      </c>
      <c r="F74" s="2">
        <v>4</v>
      </c>
      <c r="G74" s="4">
        <v>300</v>
      </c>
      <c r="H74" s="5">
        <v>0</v>
      </c>
      <c r="I74" s="4">
        <v>1200</v>
      </c>
      <c r="J74" s="4">
        <v>360</v>
      </c>
      <c r="K74" s="2" t="s">
        <v>306</v>
      </c>
      <c r="L74" s="2" t="e">
        <f ca="1">_xludf.XLOOKUP(C74,Customers!$A$4:$A$53,Customers!$B$4:$B$53,"Not found")</f>
        <v>#NAME?</v>
      </c>
      <c r="M74" s="2" t="e">
        <f ca="1">_xludf.XLOOKUP(C74,Customers!$A$4:$A$53,Customers!$C$4:$C$53,"Not found")</f>
        <v>#NAME?</v>
      </c>
      <c r="N74" s="2" t="e">
        <f ca="1">_xludf.XLOOKUP(C74,Customers!$A$4:$A$53,Customers!$D$4:$D$53,"Not found")</f>
        <v>#NAME?</v>
      </c>
      <c r="O74" s="2" t="e">
        <f ca="1">_xludf.XLOOKUP(C74,Customers!$A$4:$A$53,Customers!$E$4:$E$53,"Not found")</f>
        <v>#NAME?</v>
      </c>
      <c r="P74" s="2" t="e">
        <f ca="1">_xludf.XLOOKUP(C74,Customers!$A$4:$A$53,Customers!$F$4:$F$53,"Not found")</f>
        <v>#NAME?</v>
      </c>
      <c r="Q74" s="2" t="e">
        <f ca="1">_xludf.XLOOKUP(D74,Products!$A$4:$A$23,Products!$B$4:$B$23,"Not found")</f>
        <v>#NAME?</v>
      </c>
      <c r="R74" s="2" t="e">
        <f ca="1">_xludf.XLOOKUP(D74,Products!$A$4:$A$23,Products!$C$4:$C$23,"Not found")</f>
        <v>#NAME?</v>
      </c>
      <c r="S74" s="2" t="e">
        <f ca="1">_xludf.XLOOKUP(E74,Sales_Reps!$A$4:$A$11,Sales_Reps!$B$4:$B$11,"Not found")</f>
        <v>#NAME?</v>
      </c>
      <c r="T74" s="2" t="e">
        <f ca="1">_xludf.XLOOKUP(E74,Sales_Reps!$A$4:$A$11,Sales_Reps!$C$4:$C$11,"Not found")</f>
        <v>#NAME?</v>
      </c>
      <c r="U74" s="2"/>
      <c r="V74" s="2"/>
      <c r="W74" s="2"/>
      <c r="X74" s="2"/>
      <c r="Y74" s="2"/>
      <c r="Z74" s="2"/>
    </row>
    <row r="75" spans="1:26">
      <c r="A75" s="2" t="s">
        <v>379</v>
      </c>
      <c r="B75" s="6">
        <v>46139</v>
      </c>
      <c r="C75" s="2" t="s">
        <v>189</v>
      </c>
      <c r="D75" s="2" t="s">
        <v>273</v>
      </c>
      <c r="E75" s="2" t="s">
        <v>296</v>
      </c>
      <c r="F75" s="2">
        <v>6</v>
      </c>
      <c r="G75" s="4">
        <v>350</v>
      </c>
      <c r="H75" s="5">
        <v>0</v>
      </c>
      <c r="I75" s="4">
        <v>2100</v>
      </c>
      <c r="J75" s="4">
        <v>1218</v>
      </c>
      <c r="K75" s="2" t="s">
        <v>306</v>
      </c>
      <c r="L75" s="2" t="e">
        <f ca="1">_xludf.XLOOKUP(C75,Customers!$A$4:$A$53,Customers!$B$4:$B$53,"Not found")</f>
        <v>#NAME?</v>
      </c>
      <c r="M75" s="2" t="e">
        <f ca="1">_xludf.XLOOKUP(C75,Customers!$A$4:$A$53,Customers!$C$4:$C$53,"Not found")</f>
        <v>#NAME?</v>
      </c>
      <c r="N75" s="2" t="e">
        <f ca="1">_xludf.XLOOKUP(C75,Customers!$A$4:$A$53,Customers!$D$4:$D$53,"Not found")</f>
        <v>#NAME?</v>
      </c>
      <c r="O75" s="2" t="e">
        <f ca="1">_xludf.XLOOKUP(C75,Customers!$A$4:$A$53,Customers!$E$4:$E$53,"Not found")</f>
        <v>#NAME?</v>
      </c>
      <c r="P75" s="2" t="e">
        <f ca="1">_xludf.XLOOKUP(C75,Customers!$A$4:$A$53,Customers!$F$4:$F$53,"Not found")</f>
        <v>#NAME?</v>
      </c>
      <c r="Q75" s="2" t="e">
        <f ca="1">_xludf.XLOOKUP(D75,Products!$A$4:$A$23,Products!$B$4:$B$23,"Not found")</f>
        <v>#NAME?</v>
      </c>
      <c r="R75" s="2" t="e">
        <f ca="1">_xludf.XLOOKUP(D75,Products!$A$4:$A$23,Products!$C$4:$C$23,"Not found")</f>
        <v>#NAME?</v>
      </c>
      <c r="S75" s="2" t="e">
        <f ca="1">_xludf.XLOOKUP(E75,Sales_Reps!$A$4:$A$11,Sales_Reps!$B$4:$B$11,"Not found")</f>
        <v>#NAME?</v>
      </c>
      <c r="T75" s="2" t="e">
        <f ca="1">_xludf.XLOOKUP(E75,Sales_Reps!$A$4:$A$11,Sales_Reps!$C$4:$C$11,"Not found")</f>
        <v>#NAME?</v>
      </c>
      <c r="U75" s="2"/>
      <c r="V75" s="2"/>
      <c r="W75" s="2"/>
      <c r="X75" s="2"/>
      <c r="Y75" s="2"/>
      <c r="Z75" s="2"/>
    </row>
    <row r="76" spans="1:26" ht="15">
      <c r="A76" s="2" t="s">
        <v>380</v>
      </c>
      <c r="B76" s="6">
        <v>46160</v>
      </c>
      <c r="C76" s="2" t="s">
        <v>164</v>
      </c>
      <c r="D76" s="2" t="s">
        <v>254</v>
      </c>
      <c r="E76" s="2" t="s">
        <v>290</v>
      </c>
      <c r="F76" s="2">
        <v>6</v>
      </c>
      <c r="G76" s="4">
        <v>3500</v>
      </c>
      <c r="H76" s="5">
        <v>0</v>
      </c>
      <c r="I76" s="4">
        <v>21000</v>
      </c>
      <c r="J76" s="4">
        <v>11550</v>
      </c>
      <c r="K76" s="2" t="s">
        <v>306</v>
      </c>
      <c r="L76" s="2" t="e">
        <f ca="1">_xludf.XLOOKUP(C76,Customers!$A$4:$A$53,Customers!$B$4:$B$53,"Not found")</f>
        <v>#NAME?</v>
      </c>
      <c r="M76" s="2" t="e">
        <f ca="1">_xludf.XLOOKUP(C76,Customers!$A$4:$A$53,Customers!$C$4:$C$53,"Not found")</f>
        <v>#NAME?</v>
      </c>
      <c r="N76" s="2" t="e">
        <f ca="1">_xludf.XLOOKUP(C76,Customers!$A$4:$A$53,Customers!$D$4:$D$53,"Not found")</f>
        <v>#NAME?</v>
      </c>
      <c r="O76" s="2" t="e">
        <f ca="1">_xludf.XLOOKUP(C76,Customers!$A$4:$A$53,Customers!$E$4:$E$53,"Not found")</f>
        <v>#NAME?</v>
      </c>
      <c r="P76" s="2" t="e">
        <f ca="1">_xludf.XLOOKUP(C76,Customers!$A$4:$A$53,Customers!$F$4:$F$53,"Not found")</f>
        <v>#NAME?</v>
      </c>
      <c r="Q76" s="2" t="e">
        <f ca="1">_xludf.XLOOKUP(D76,Products!$A$4:$A$23,Products!$B$4:$B$23,"Not found")</f>
        <v>#NAME?</v>
      </c>
      <c r="R76" s="2" t="e">
        <f ca="1">_xludf.XLOOKUP(D76,Products!$A$4:$A$23,Products!$C$4:$C$23,"Not found")</f>
        <v>#NAME?</v>
      </c>
      <c r="S76" s="2" t="e">
        <f ca="1">_xludf.XLOOKUP(E76,Sales_Reps!$A$4:$A$11,Sales_Reps!$B$4:$B$11,"Not found")</f>
        <v>#NAME?</v>
      </c>
      <c r="T76" s="2" t="e">
        <f ca="1">_xludf.XLOOKUP(E76,Sales_Reps!$A$4:$A$11,Sales_Reps!$C$4:$C$11,"Not found")</f>
        <v>#NAME?</v>
      </c>
      <c r="U76" s="2"/>
      <c r="V76" s="2"/>
      <c r="W76" s="2"/>
      <c r="X76" s="2"/>
      <c r="Y76" s="2"/>
      <c r="Z76" s="2"/>
    </row>
    <row r="77" spans="1:26">
      <c r="A77" s="2" t="s">
        <v>381</v>
      </c>
      <c r="B77" s="6">
        <v>46072</v>
      </c>
      <c r="C77" s="2" t="s">
        <v>149</v>
      </c>
      <c r="D77" s="2" t="s">
        <v>249</v>
      </c>
      <c r="E77" s="2" t="s">
        <v>298</v>
      </c>
      <c r="F77" s="2">
        <v>5</v>
      </c>
      <c r="G77" s="4">
        <v>600</v>
      </c>
      <c r="H77" s="5">
        <v>0</v>
      </c>
      <c r="I77" s="4">
        <v>3000</v>
      </c>
      <c r="J77" s="4">
        <v>1950</v>
      </c>
      <c r="K77" s="2" t="s">
        <v>306</v>
      </c>
      <c r="L77" s="2" t="e">
        <f ca="1">_xludf.XLOOKUP(C77,Customers!$A$4:$A$53,Customers!$B$4:$B$53,"Not found")</f>
        <v>#NAME?</v>
      </c>
      <c r="M77" s="2" t="e">
        <f ca="1">_xludf.XLOOKUP(C77,Customers!$A$4:$A$53,Customers!$C$4:$C$53,"Not found")</f>
        <v>#NAME?</v>
      </c>
      <c r="N77" s="2" t="e">
        <f ca="1">_xludf.XLOOKUP(C77,Customers!$A$4:$A$53,Customers!$D$4:$D$53,"Not found")</f>
        <v>#NAME?</v>
      </c>
      <c r="O77" s="2" t="e">
        <f ca="1">_xludf.XLOOKUP(C77,Customers!$A$4:$A$53,Customers!$E$4:$E$53,"Not found")</f>
        <v>#NAME?</v>
      </c>
      <c r="P77" s="2" t="e">
        <f ca="1">_xludf.XLOOKUP(C77,Customers!$A$4:$A$53,Customers!$F$4:$F$53,"Not found")</f>
        <v>#NAME?</v>
      </c>
      <c r="Q77" s="2" t="e">
        <f ca="1">_xludf.XLOOKUP(D77,Products!$A$4:$A$23,Products!$B$4:$B$23,"Not found")</f>
        <v>#NAME?</v>
      </c>
      <c r="R77" s="2" t="e">
        <f ca="1">_xludf.XLOOKUP(D77,Products!$A$4:$A$23,Products!$C$4:$C$23,"Not found")</f>
        <v>#NAME?</v>
      </c>
      <c r="S77" s="2" t="e">
        <f ca="1">_xludf.XLOOKUP(E77,Sales_Reps!$A$4:$A$11,Sales_Reps!$B$4:$B$11,"Not found")</f>
        <v>#NAME?</v>
      </c>
      <c r="T77" s="2" t="e">
        <f ca="1">_xludf.XLOOKUP(E77,Sales_Reps!$A$4:$A$11,Sales_Reps!$C$4:$C$11,"Not found")</f>
        <v>#NAME?</v>
      </c>
      <c r="U77" s="2"/>
      <c r="V77" s="2"/>
      <c r="W77" s="2"/>
      <c r="X77" s="2"/>
      <c r="Y77" s="2"/>
      <c r="Z77" s="2"/>
    </row>
    <row r="78" spans="1:26" ht="15">
      <c r="A78" s="2" t="s">
        <v>382</v>
      </c>
      <c r="B78" s="6">
        <v>46034</v>
      </c>
      <c r="C78" s="2" t="s">
        <v>154</v>
      </c>
      <c r="D78" s="2" t="s">
        <v>261</v>
      </c>
      <c r="E78" s="2" t="s">
        <v>75</v>
      </c>
      <c r="F78" s="2">
        <v>3</v>
      </c>
      <c r="G78" s="4">
        <v>2200</v>
      </c>
      <c r="H78" s="5">
        <v>0</v>
      </c>
      <c r="I78" s="4">
        <v>6600</v>
      </c>
      <c r="J78" s="4">
        <v>3300</v>
      </c>
      <c r="K78" s="2" t="s">
        <v>306</v>
      </c>
      <c r="L78" s="2" t="e">
        <f ca="1">_xludf.XLOOKUP(C78,Customers!$A$4:$A$53,Customers!$B$4:$B$53,"Not found")</f>
        <v>#NAME?</v>
      </c>
      <c r="M78" s="2" t="e">
        <f ca="1">_xludf.XLOOKUP(C78,Customers!$A$4:$A$53,Customers!$C$4:$C$53,"Not found")</f>
        <v>#NAME?</v>
      </c>
      <c r="N78" s="2" t="e">
        <f ca="1">_xludf.XLOOKUP(C78,Customers!$A$4:$A$53,Customers!$D$4:$D$53,"Not found")</f>
        <v>#NAME?</v>
      </c>
      <c r="O78" s="2" t="e">
        <f ca="1">_xludf.XLOOKUP(C78,Customers!$A$4:$A$53,Customers!$E$4:$E$53,"Not found")</f>
        <v>#NAME?</v>
      </c>
      <c r="P78" s="2" t="e">
        <f ca="1">_xludf.XLOOKUP(C78,Customers!$A$4:$A$53,Customers!$F$4:$F$53,"Not found")</f>
        <v>#NAME?</v>
      </c>
      <c r="Q78" s="2" t="e">
        <f ca="1">_xludf.XLOOKUP(D78,Products!$A$4:$A$23,Products!$B$4:$B$23,"Not found")</f>
        <v>#NAME?</v>
      </c>
      <c r="R78" s="2" t="e">
        <f ca="1">_xludf.XLOOKUP(D78,Products!$A$4:$A$23,Products!$C$4:$C$23,"Not found")</f>
        <v>#NAME?</v>
      </c>
      <c r="S78" s="2" t="e">
        <f ca="1">_xludf.XLOOKUP(E78,Sales_Reps!$A$4:$A$11,Sales_Reps!$B$4:$B$11,"Not found")</f>
        <v>#NAME?</v>
      </c>
      <c r="T78" s="2" t="e">
        <f ca="1">_xludf.XLOOKUP(E78,Sales_Reps!$A$4:$A$11,Sales_Reps!$C$4:$C$11,"Not found")</f>
        <v>#NAME?</v>
      </c>
      <c r="U78" s="2"/>
      <c r="V78" s="2"/>
      <c r="W78" s="2"/>
      <c r="X78" s="2"/>
      <c r="Y78" s="2"/>
      <c r="Z78" s="2"/>
    </row>
    <row r="79" spans="1:26" ht="15">
      <c r="A79" s="2" t="s">
        <v>383</v>
      </c>
      <c r="B79" s="6">
        <v>46026</v>
      </c>
      <c r="C79" s="2" t="s">
        <v>199</v>
      </c>
      <c r="D79" s="2" t="s">
        <v>257</v>
      </c>
      <c r="E79" s="2" t="s">
        <v>75</v>
      </c>
      <c r="F79" s="2">
        <v>8</v>
      </c>
      <c r="G79" s="4">
        <v>1200</v>
      </c>
      <c r="H79" s="5">
        <v>0</v>
      </c>
      <c r="I79" s="4">
        <v>9600</v>
      </c>
      <c r="J79" s="4">
        <v>5760</v>
      </c>
      <c r="K79" s="2" t="s">
        <v>313</v>
      </c>
      <c r="L79" s="2" t="e">
        <f ca="1">_xludf.XLOOKUP(C79,Customers!$A$4:$A$53,Customers!$B$4:$B$53,"Not found")</f>
        <v>#NAME?</v>
      </c>
      <c r="M79" s="2" t="e">
        <f ca="1">_xludf.XLOOKUP(C79,Customers!$A$4:$A$53,Customers!$C$4:$C$53,"Not found")</f>
        <v>#NAME?</v>
      </c>
      <c r="N79" s="2" t="e">
        <f ca="1">_xludf.XLOOKUP(C79,Customers!$A$4:$A$53,Customers!$D$4:$D$53,"Not found")</f>
        <v>#NAME?</v>
      </c>
      <c r="O79" s="2" t="e">
        <f ca="1">_xludf.XLOOKUP(C79,Customers!$A$4:$A$53,Customers!$E$4:$E$53,"Not found")</f>
        <v>#NAME?</v>
      </c>
      <c r="P79" s="2" t="e">
        <f ca="1">_xludf.XLOOKUP(C79,Customers!$A$4:$A$53,Customers!$F$4:$F$53,"Not found")</f>
        <v>#NAME?</v>
      </c>
      <c r="Q79" s="2" t="e">
        <f ca="1">_xludf.XLOOKUP(D79,Products!$A$4:$A$23,Products!$B$4:$B$23,"Not found")</f>
        <v>#NAME?</v>
      </c>
      <c r="R79" s="2" t="e">
        <f ca="1">_xludf.XLOOKUP(D79,Products!$A$4:$A$23,Products!$C$4:$C$23,"Not found")</f>
        <v>#NAME?</v>
      </c>
      <c r="S79" s="2" t="e">
        <f ca="1">_xludf.XLOOKUP(E79,Sales_Reps!$A$4:$A$11,Sales_Reps!$B$4:$B$11,"Not found")</f>
        <v>#NAME?</v>
      </c>
      <c r="T79" s="2" t="e">
        <f ca="1">_xludf.XLOOKUP(E79,Sales_Reps!$A$4:$A$11,Sales_Reps!$C$4:$C$11,"Not found")</f>
        <v>#NAME?</v>
      </c>
      <c r="U79" s="2"/>
      <c r="V79" s="2"/>
      <c r="W79" s="2"/>
      <c r="X79" s="2"/>
      <c r="Y79" s="2"/>
      <c r="Z79" s="2"/>
    </row>
    <row r="80" spans="1:26">
      <c r="A80" s="2" t="s">
        <v>384</v>
      </c>
      <c r="B80" s="6">
        <v>46087</v>
      </c>
      <c r="C80" s="2" t="s">
        <v>162</v>
      </c>
      <c r="D80" s="2" t="s">
        <v>269</v>
      </c>
      <c r="E80" s="2" t="s">
        <v>294</v>
      </c>
      <c r="F80" s="2">
        <v>3</v>
      </c>
      <c r="G80" s="4">
        <v>1100</v>
      </c>
      <c r="H80" s="5">
        <v>0</v>
      </c>
      <c r="I80" s="4">
        <v>3300</v>
      </c>
      <c r="J80" s="4">
        <v>2244</v>
      </c>
      <c r="K80" s="2" t="s">
        <v>309</v>
      </c>
      <c r="L80" s="2" t="e">
        <f ca="1">_xludf.XLOOKUP(C80,Customers!$A$4:$A$53,Customers!$B$4:$B$53,"Not found")</f>
        <v>#NAME?</v>
      </c>
      <c r="M80" s="2" t="e">
        <f ca="1">_xludf.XLOOKUP(C80,Customers!$A$4:$A$53,Customers!$C$4:$C$53,"Not found")</f>
        <v>#NAME?</v>
      </c>
      <c r="N80" s="2" t="e">
        <f ca="1">_xludf.XLOOKUP(C80,Customers!$A$4:$A$53,Customers!$D$4:$D$53,"Not found")</f>
        <v>#NAME?</v>
      </c>
      <c r="O80" s="2" t="e">
        <f ca="1">_xludf.XLOOKUP(C80,Customers!$A$4:$A$53,Customers!$E$4:$E$53,"Not found")</f>
        <v>#NAME?</v>
      </c>
      <c r="P80" s="2" t="e">
        <f ca="1">_xludf.XLOOKUP(C80,Customers!$A$4:$A$53,Customers!$F$4:$F$53,"Not found")</f>
        <v>#NAME?</v>
      </c>
      <c r="Q80" s="2" t="e">
        <f ca="1">_xludf.XLOOKUP(D80,Products!$A$4:$A$23,Products!$B$4:$B$23,"Not found")</f>
        <v>#NAME?</v>
      </c>
      <c r="R80" s="2" t="e">
        <f ca="1">_xludf.XLOOKUP(D80,Products!$A$4:$A$23,Products!$C$4:$C$23,"Not found")</f>
        <v>#NAME?</v>
      </c>
      <c r="S80" s="2" t="e">
        <f ca="1">_xludf.XLOOKUP(E80,Sales_Reps!$A$4:$A$11,Sales_Reps!$B$4:$B$11,"Not found")</f>
        <v>#NAME?</v>
      </c>
      <c r="T80" s="2" t="e">
        <f ca="1">_xludf.XLOOKUP(E80,Sales_Reps!$A$4:$A$11,Sales_Reps!$C$4:$C$11,"Not found")</f>
        <v>#NAME?</v>
      </c>
      <c r="U80" s="2"/>
      <c r="V80" s="2"/>
      <c r="W80" s="2"/>
      <c r="X80" s="2"/>
      <c r="Y80" s="2"/>
      <c r="Z80" s="2"/>
    </row>
    <row r="81" spans="1:26">
      <c r="A81" s="2" t="s">
        <v>385</v>
      </c>
      <c r="B81" s="6">
        <v>46061</v>
      </c>
      <c r="C81" s="2" t="s">
        <v>131</v>
      </c>
      <c r="D81" s="2" t="s">
        <v>240</v>
      </c>
      <c r="E81" s="2" t="s">
        <v>287</v>
      </c>
      <c r="F81" s="2">
        <v>1</v>
      </c>
      <c r="G81" s="4">
        <v>300</v>
      </c>
      <c r="H81" s="5">
        <v>0</v>
      </c>
      <c r="I81" s="4">
        <v>300</v>
      </c>
      <c r="J81" s="4">
        <v>90</v>
      </c>
      <c r="K81" s="2" t="s">
        <v>313</v>
      </c>
      <c r="L81" s="2" t="e">
        <f ca="1">_xludf.XLOOKUP(C81,Customers!$A$4:$A$53,Customers!$B$4:$B$53,"Not found")</f>
        <v>#NAME?</v>
      </c>
      <c r="M81" s="2" t="e">
        <f ca="1">_xludf.XLOOKUP(C81,Customers!$A$4:$A$53,Customers!$C$4:$C$53,"Not found")</f>
        <v>#NAME?</v>
      </c>
      <c r="N81" s="2" t="e">
        <f ca="1">_xludf.XLOOKUP(C81,Customers!$A$4:$A$53,Customers!$D$4:$D$53,"Not found")</f>
        <v>#NAME?</v>
      </c>
      <c r="O81" s="2" t="e">
        <f ca="1">_xludf.XLOOKUP(C81,Customers!$A$4:$A$53,Customers!$E$4:$E$53,"Not found")</f>
        <v>#NAME?</v>
      </c>
      <c r="P81" s="2" t="e">
        <f ca="1">_xludf.XLOOKUP(C81,Customers!$A$4:$A$53,Customers!$F$4:$F$53,"Not found")</f>
        <v>#NAME?</v>
      </c>
      <c r="Q81" s="2" t="e">
        <f ca="1">_xludf.XLOOKUP(D81,Products!$A$4:$A$23,Products!$B$4:$B$23,"Not found")</f>
        <v>#NAME?</v>
      </c>
      <c r="R81" s="2" t="e">
        <f ca="1">_xludf.XLOOKUP(D81,Products!$A$4:$A$23,Products!$C$4:$C$23,"Not found")</f>
        <v>#NAME?</v>
      </c>
      <c r="S81" s="2" t="e">
        <f ca="1">_xludf.XLOOKUP(E81,Sales_Reps!$A$4:$A$11,Sales_Reps!$B$4:$B$11,"Not found")</f>
        <v>#NAME?</v>
      </c>
      <c r="T81" s="2" t="e">
        <f ca="1">_xludf.XLOOKUP(E81,Sales_Reps!$A$4:$A$11,Sales_Reps!$C$4:$C$11,"Not found")</f>
        <v>#NAME?</v>
      </c>
      <c r="U81" s="2"/>
      <c r="V81" s="2"/>
      <c r="W81" s="2"/>
      <c r="X81" s="2"/>
      <c r="Y81" s="2"/>
      <c r="Z81" s="2"/>
    </row>
    <row r="82" spans="1:26">
      <c r="A82" s="2" t="s">
        <v>386</v>
      </c>
      <c r="B82" s="6">
        <v>46080</v>
      </c>
      <c r="C82" s="2" t="s">
        <v>164</v>
      </c>
      <c r="D82" s="2" t="s">
        <v>240</v>
      </c>
      <c r="E82" s="2" t="s">
        <v>284</v>
      </c>
      <c r="F82" s="2">
        <v>7</v>
      </c>
      <c r="G82" s="4">
        <v>300</v>
      </c>
      <c r="H82" s="5">
        <v>0.1</v>
      </c>
      <c r="I82" s="4">
        <v>1890</v>
      </c>
      <c r="J82" s="4">
        <v>567</v>
      </c>
      <c r="K82" s="2" t="s">
        <v>313</v>
      </c>
      <c r="L82" s="2" t="e">
        <f ca="1">_xludf.XLOOKUP(C82,Customers!$A$4:$A$53,Customers!$B$4:$B$53,"Not found")</f>
        <v>#NAME?</v>
      </c>
      <c r="M82" s="2" t="e">
        <f ca="1">_xludf.XLOOKUP(C82,Customers!$A$4:$A$53,Customers!$C$4:$C$53,"Not found")</f>
        <v>#NAME?</v>
      </c>
      <c r="N82" s="2" t="e">
        <f ca="1">_xludf.XLOOKUP(C82,Customers!$A$4:$A$53,Customers!$D$4:$D$53,"Not found")</f>
        <v>#NAME?</v>
      </c>
      <c r="O82" s="2" t="e">
        <f ca="1">_xludf.XLOOKUP(C82,Customers!$A$4:$A$53,Customers!$E$4:$E$53,"Not found")</f>
        <v>#NAME?</v>
      </c>
      <c r="P82" s="2" t="e">
        <f ca="1">_xludf.XLOOKUP(C82,Customers!$A$4:$A$53,Customers!$F$4:$F$53,"Not found")</f>
        <v>#NAME?</v>
      </c>
      <c r="Q82" s="2" t="e">
        <f ca="1">_xludf.XLOOKUP(D82,Products!$A$4:$A$23,Products!$B$4:$B$23,"Not found")</f>
        <v>#NAME?</v>
      </c>
      <c r="R82" s="2" t="e">
        <f ca="1">_xludf.XLOOKUP(D82,Products!$A$4:$A$23,Products!$C$4:$C$23,"Not found")</f>
        <v>#NAME?</v>
      </c>
      <c r="S82" s="2" t="e">
        <f ca="1">_xludf.XLOOKUP(E82,Sales_Reps!$A$4:$A$11,Sales_Reps!$B$4:$B$11,"Not found")</f>
        <v>#NAME?</v>
      </c>
      <c r="T82" s="2" t="e">
        <f ca="1">_xludf.XLOOKUP(E82,Sales_Reps!$A$4:$A$11,Sales_Reps!$C$4:$C$11,"Not found")</f>
        <v>#NAME?</v>
      </c>
      <c r="U82" s="2"/>
      <c r="V82" s="2"/>
      <c r="W82" s="2"/>
      <c r="X82" s="2"/>
      <c r="Y82" s="2"/>
      <c r="Z82" s="2"/>
    </row>
    <row r="83" spans="1:26">
      <c r="A83" s="2" t="s">
        <v>387</v>
      </c>
      <c r="B83" s="6">
        <v>46168</v>
      </c>
      <c r="C83" s="2" t="s">
        <v>175</v>
      </c>
      <c r="D83" s="2" t="s">
        <v>267</v>
      </c>
      <c r="E83" s="2" t="s">
        <v>292</v>
      </c>
      <c r="F83" s="2">
        <v>7</v>
      </c>
      <c r="G83" s="4">
        <v>120</v>
      </c>
      <c r="H83" s="5">
        <v>0</v>
      </c>
      <c r="I83" s="4">
        <v>840</v>
      </c>
      <c r="J83" s="4">
        <v>319.2</v>
      </c>
      <c r="K83" s="2" t="s">
        <v>313</v>
      </c>
      <c r="L83" s="2" t="e">
        <f ca="1">_xludf.XLOOKUP(C83,Customers!$A$4:$A$53,Customers!$B$4:$B$53,"Not found")</f>
        <v>#NAME?</v>
      </c>
      <c r="M83" s="2" t="e">
        <f ca="1">_xludf.XLOOKUP(C83,Customers!$A$4:$A$53,Customers!$C$4:$C$53,"Not found")</f>
        <v>#NAME?</v>
      </c>
      <c r="N83" s="2" t="e">
        <f ca="1">_xludf.XLOOKUP(C83,Customers!$A$4:$A$53,Customers!$D$4:$D$53,"Not found")</f>
        <v>#NAME?</v>
      </c>
      <c r="O83" s="2" t="e">
        <f ca="1">_xludf.XLOOKUP(C83,Customers!$A$4:$A$53,Customers!$E$4:$E$53,"Not found")</f>
        <v>#NAME?</v>
      </c>
      <c r="P83" s="2" t="e">
        <f ca="1">_xludf.XLOOKUP(C83,Customers!$A$4:$A$53,Customers!$F$4:$F$53,"Not found")</f>
        <v>#NAME?</v>
      </c>
      <c r="Q83" s="2" t="e">
        <f ca="1">_xludf.XLOOKUP(D83,Products!$A$4:$A$23,Products!$B$4:$B$23,"Not found")</f>
        <v>#NAME?</v>
      </c>
      <c r="R83" s="2" t="e">
        <f ca="1">_xludf.XLOOKUP(D83,Products!$A$4:$A$23,Products!$C$4:$C$23,"Not found")</f>
        <v>#NAME?</v>
      </c>
      <c r="S83" s="2" t="e">
        <f ca="1">_xludf.XLOOKUP(E83,Sales_Reps!$A$4:$A$11,Sales_Reps!$B$4:$B$11,"Not found")</f>
        <v>#NAME?</v>
      </c>
      <c r="T83" s="2" t="e">
        <f ca="1">_xludf.XLOOKUP(E83,Sales_Reps!$A$4:$A$11,Sales_Reps!$C$4:$C$11,"Not found")</f>
        <v>#NAME?</v>
      </c>
      <c r="U83" s="2"/>
      <c r="V83" s="2"/>
      <c r="W83" s="2"/>
      <c r="X83" s="2"/>
      <c r="Y83" s="2"/>
      <c r="Z83" s="2"/>
    </row>
    <row r="84" spans="1:26">
      <c r="A84" s="2" t="s">
        <v>388</v>
      </c>
      <c r="B84" s="6">
        <v>46077</v>
      </c>
      <c r="C84" s="2" t="s">
        <v>118</v>
      </c>
      <c r="D84" s="2" t="s">
        <v>277</v>
      </c>
      <c r="E84" s="2" t="s">
        <v>284</v>
      </c>
      <c r="F84" s="2">
        <v>4</v>
      </c>
      <c r="G84" s="4">
        <v>900</v>
      </c>
      <c r="H84" s="5">
        <v>0.15</v>
      </c>
      <c r="I84" s="4">
        <v>3060</v>
      </c>
      <c r="J84" s="4">
        <v>795.6</v>
      </c>
      <c r="K84" s="2" t="s">
        <v>306</v>
      </c>
      <c r="L84" s="2" t="e">
        <f ca="1">_xludf.XLOOKUP(C84,Customers!$A$4:$A$53,Customers!$B$4:$B$53,"Not found")</f>
        <v>#NAME?</v>
      </c>
      <c r="M84" s="2" t="e">
        <f ca="1">_xludf.XLOOKUP(C84,Customers!$A$4:$A$53,Customers!$C$4:$C$53,"Not found")</f>
        <v>#NAME?</v>
      </c>
      <c r="N84" s="2" t="e">
        <f ca="1">_xludf.XLOOKUP(C84,Customers!$A$4:$A$53,Customers!$D$4:$D$53,"Not found")</f>
        <v>#NAME?</v>
      </c>
      <c r="O84" s="2" t="e">
        <f ca="1">_xludf.XLOOKUP(C84,Customers!$A$4:$A$53,Customers!$E$4:$E$53,"Not found")</f>
        <v>#NAME?</v>
      </c>
      <c r="P84" s="2" t="e">
        <f ca="1">_xludf.XLOOKUP(C84,Customers!$A$4:$A$53,Customers!$F$4:$F$53,"Not found")</f>
        <v>#NAME?</v>
      </c>
      <c r="Q84" s="2" t="e">
        <f ca="1">_xludf.XLOOKUP(D84,Products!$A$4:$A$23,Products!$B$4:$B$23,"Not found")</f>
        <v>#NAME?</v>
      </c>
      <c r="R84" s="2" t="e">
        <f ca="1">_xludf.XLOOKUP(D84,Products!$A$4:$A$23,Products!$C$4:$C$23,"Not found")</f>
        <v>#NAME?</v>
      </c>
      <c r="S84" s="2" t="e">
        <f ca="1">_xludf.XLOOKUP(E84,Sales_Reps!$A$4:$A$11,Sales_Reps!$B$4:$B$11,"Not found")</f>
        <v>#NAME?</v>
      </c>
      <c r="T84" s="2" t="e">
        <f ca="1">_xludf.XLOOKUP(E84,Sales_Reps!$A$4:$A$11,Sales_Reps!$C$4:$C$11,"Not found")</f>
        <v>#NAME?</v>
      </c>
      <c r="U84" s="2"/>
      <c r="V84" s="2"/>
      <c r="W84" s="2"/>
      <c r="X84" s="2"/>
      <c r="Y84" s="2"/>
      <c r="Z84" s="2"/>
    </row>
    <row r="85" spans="1:26">
      <c r="A85" s="2" t="s">
        <v>389</v>
      </c>
      <c r="B85" s="6">
        <v>46023</v>
      </c>
      <c r="C85" s="2" t="s">
        <v>215</v>
      </c>
      <c r="D85" s="2" t="s">
        <v>240</v>
      </c>
      <c r="E85" s="2" t="s">
        <v>287</v>
      </c>
      <c r="F85" s="2">
        <v>2</v>
      </c>
      <c r="G85" s="4">
        <v>300</v>
      </c>
      <c r="H85" s="5">
        <v>0</v>
      </c>
      <c r="I85" s="4">
        <v>600</v>
      </c>
      <c r="J85" s="4">
        <v>180</v>
      </c>
      <c r="K85" s="2" t="s">
        <v>309</v>
      </c>
      <c r="L85" s="2" t="e">
        <f ca="1">_xludf.XLOOKUP(C85,Customers!$A$4:$A$53,Customers!$B$4:$B$53,"Not found")</f>
        <v>#NAME?</v>
      </c>
      <c r="M85" s="2" t="e">
        <f ca="1">_xludf.XLOOKUP(C85,Customers!$A$4:$A$53,Customers!$C$4:$C$53,"Not found")</f>
        <v>#NAME?</v>
      </c>
      <c r="N85" s="2" t="e">
        <f ca="1">_xludf.XLOOKUP(C85,Customers!$A$4:$A$53,Customers!$D$4:$D$53,"Not found")</f>
        <v>#NAME?</v>
      </c>
      <c r="O85" s="2" t="e">
        <f ca="1">_xludf.XLOOKUP(C85,Customers!$A$4:$A$53,Customers!$E$4:$E$53,"Not found")</f>
        <v>#NAME?</v>
      </c>
      <c r="P85" s="2" t="e">
        <f ca="1">_xludf.XLOOKUP(C85,Customers!$A$4:$A$53,Customers!$F$4:$F$53,"Not found")</f>
        <v>#NAME?</v>
      </c>
      <c r="Q85" s="2" t="e">
        <f ca="1">_xludf.XLOOKUP(D85,Products!$A$4:$A$23,Products!$B$4:$B$23,"Not found")</f>
        <v>#NAME?</v>
      </c>
      <c r="R85" s="2" t="e">
        <f ca="1">_xludf.XLOOKUP(D85,Products!$A$4:$A$23,Products!$C$4:$C$23,"Not found")</f>
        <v>#NAME?</v>
      </c>
      <c r="S85" s="2" t="e">
        <f ca="1">_xludf.XLOOKUP(E85,Sales_Reps!$A$4:$A$11,Sales_Reps!$B$4:$B$11,"Not found")</f>
        <v>#NAME?</v>
      </c>
      <c r="T85" s="2" t="e">
        <f ca="1">_xludf.XLOOKUP(E85,Sales_Reps!$A$4:$A$11,Sales_Reps!$C$4:$C$11,"Not found")</f>
        <v>#NAME?</v>
      </c>
      <c r="U85" s="2"/>
      <c r="V85" s="2"/>
      <c r="W85" s="2"/>
      <c r="X85" s="2"/>
      <c r="Y85" s="2"/>
      <c r="Z85" s="2"/>
    </row>
    <row r="86" spans="1:26">
      <c r="A86" s="2" t="s">
        <v>390</v>
      </c>
      <c r="B86" s="6">
        <v>46095</v>
      </c>
      <c r="C86" s="2" t="s">
        <v>184</v>
      </c>
      <c r="D86" s="2" t="s">
        <v>277</v>
      </c>
      <c r="E86" s="2" t="s">
        <v>284</v>
      </c>
      <c r="F86" s="2">
        <v>4</v>
      </c>
      <c r="G86" s="4">
        <v>900</v>
      </c>
      <c r="H86" s="5">
        <v>0</v>
      </c>
      <c r="I86" s="4">
        <v>3600</v>
      </c>
      <c r="J86" s="4">
        <v>936</v>
      </c>
      <c r="K86" s="2" t="s">
        <v>309</v>
      </c>
      <c r="L86" s="2" t="e">
        <f ca="1">_xludf.XLOOKUP(C86,Customers!$A$4:$A$53,Customers!$B$4:$B$53,"Not found")</f>
        <v>#NAME?</v>
      </c>
      <c r="M86" s="2" t="e">
        <f ca="1">_xludf.XLOOKUP(C86,Customers!$A$4:$A$53,Customers!$C$4:$C$53,"Not found")</f>
        <v>#NAME?</v>
      </c>
      <c r="N86" s="2" t="e">
        <f ca="1">_xludf.XLOOKUP(C86,Customers!$A$4:$A$53,Customers!$D$4:$D$53,"Not found")</f>
        <v>#NAME?</v>
      </c>
      <c r="O86" s="2" t="e">
        <f ca="1">_xludf.XLOOKUP(C86,Customers!$A$4:$A$53,Customers!$E$4:$E$53,"Not found")</f>
        <v>#NAME?</v>
      </c>
      <c r="P86" s="2" t="e">
        <f ca="1">_xludf.XLOOKUP(C86,Customers!$A$4:$A$53,Customers!$F$4:$F$53,"Not found")</f>
        <v>#NAME?</v>
      </c>
      <c r="Q86" s="2" t="e">
        <f ca="1">_xludf.XLOOKUP(D86,Products!$A$4:$A$23,Products!$B$4:$B$23,"Not found")</f>
        <v>#NAME?</v>
      </c>
      <c r="R86" s="2" t="e">
        <f ca="1">_xludf.XLOOKUP(D86,Products!$A$4:$A$23,Products!$C$4:$C$23,"Not found")</f>
        <v>#NAME?</v>
      </c>
      <c r="S86" s="2" t="e">
        <f ca="1">_xludf.XLOOKUP(E86,Sales_Reps!$A$4:$A$11,Sales_Reps!$B$4:$B$11,"Not found")</f>
        <v>#NAME?</v>
      </c>
      <c r="T86" s="2" t="e">
        <f ca="1">_xludf.XLOOKUP(E86,Sales_Reps!$A$4:$A$11,Sales_Reps!$C$4:$C$11,"Not found")</f>
        <v>#NAME?</v>
      </c>
      <c r="U86" s="2"/>
      <c r="V86" s="2"/>
      <c r="W86" s="2"/>
      <c r="X86" s="2"/>
      <c r="Y86" s="2"/>
      <c r="Z86" s="2"/>
    </row>
    <row r="87" spans="1:26" ht="15">
      <c r="A87" s="2" t="s">
        <v>391</v>
      </c>
      <c r="B87" s="6">
        <v>46162</v>
      </c>
      <c r="C87" s="2" t="s">
        <v>122</v>
      </c>
      <c r="D87" s="2" t="s">
        <v>252</v>
      </c>
      <c r="E87" s="2" t="s">
        <v>290</v>
      </c>
      <c r="F87" s="2">
        <v>7</v>
      </c>
      <c r="G87" s="4">
        <v>900</v>
      </c>
      <c r="H87" s="5">
        <v>0</v>
      </c>
      <c r="I87" s="4">
        <v>6300</v>
      </c>
      <c r="J87" s="4">
        <v>4410</v>
      </c>
      <c r="K87" s="2" t="s">
        <v>306</v>
      </c>
      <c r="L87" s="2" t="e">
        <f ca="1">_xludf.XLOOKUP(C87,Customers!$A$4:$A$53,Customers!$B$4:$B$53,"Not found")</f>
        <v>#NAME?</v>
      </c>
      <c r="M87" s="2" t="e">
        <f ca="1">_xludf.XLOOKUP(C87,Customers!$A$4:$A$53,Customers!$C$4:$C$53,"Not found")</f>
        <v>#NAME?</v>
      </c>
      <c r="N87" s="2" t="e">
        <f ca="1">_xludf.XLOOKUP(C87,Customers!$A$4:$A$53,Customers!$D$4:$D$53,"Not found")</f>
        <v>#NAME?</v>
      </c>
      <c r="O87" s="2" t="e">
        <f ca="1">_xludf.XLOOKUP(C87,Customers!$A$4:$A$53,Customers!$E$4:$E$53,"Not found")</f>
        <v>#NAME?</v>
      </c>
      <c r="P87" s="2" t="e">
        <f ca="1">_xludf.XLOOKUP(C87,Customers!$A$4:$A$53,Customers!$F$4:$F$53,"Not found")</f>
        <v>#NAME?</v>
      </c>
      <c r="Q87" s="2" t="e">
        <f ca="1">_xludf.XLOOKUP(D87,Products!$A$4:$A$23,Products!$B$4:$B$23,"Not found")</f>
        <v>#NAME?</v>
      </c>
      <c r="R87" s="2" t="e">
        <f ca="1">_xludf.XLOOKUP(D87,Products!$A$4:$A$23,Products!$C$4:$C$23,"Not found")</f>
        <v>#NAME?</v>
      </c>
      <c r="S87" s="2" t="e">
        <f ca="1">_xludf.XLOOKUP(E87,Sales_Reps!$A$4:$A$11,Sales_Reps!$B$4:$B$11,"Not found")</f>
        <v>#NAME?</v>
      </c>
      <c r="T87" s="2" t="e">
        <f ca="1">_xludf.XLOOKUP(E87,Sales_Reps!$A$4:$A$11,Sales_Reps!$C$4:$C$11,"Not found")</f>
        <v>#NAME?</v>
      </c>
      <c r="U87" s="2"/>
      <c r="V87" s="2"/>
      <c r="W87" s="2"/>
      <c r="X87" s="2"/>
      <c r="Y87" s="2"/>
      <c r="Z87" s="2"/>
    </row>
    <row r="88" spans="1:26">
      <c r="A88" s="2" t="s">
        <v>392</v>
      </c>
      <c r="B88" s="6">
        <v>46065</v>
      </c>
      <c r="C88" s="2" t="s">
        <v>212</v>
      </c>
      <c r="D88" s="2" t="s">
        <v>245</v>
      </c>
      <c r="E88" s="2" t="s">
        <v>287</v>
      </c>
      <c r="F88" s="2">
        <v>2</v>
      </c>
      <c r="G88" s="4">
        <v>35</v>
      </c>
      <c r="H88" s="5">
        <v>0</v>
      </c>
      <c r="I88" s="4">
        <v>70</v>
      </c>
      <c r="J88" s="4">
        <v>29.4</v>
      </c>
      <c r="K88" s="2" t="s">
        <v>306</v>
      </c>
      <c r="L88" s="2" t="e">
        <f ca="1">_xludf.XLOOKUP(C88,Customers!$A$4:$A$53,Customers!$B$4:$B$53,"Not found")</f>
        <v>#NAME?</v>
      </c>
      <c r="M88" s="2" t="e">
        <f ca="1">_xludf.XLOOKUP(C88,Customers!$A$4:$A$53,Customers!$C$4:$C$53,"Not found")</f>
        <v>#NAME?</v>
      </c>
      <c r="N88" s="2" t="e">
        <f ca="1">_xludf.XLOOKUP(C88,Customers!$A$4:$A$53,Customers!$D$4:$D$53,"Not found")</f>
        <v>#NAME?</v>
      </c>
      <c r="O88" s="2" t="e">
        <f ca="1">_xludf.XLOOKUP(C88,Customers!$A$4:$A$53,Customers!$E$4:$E$53,"Not found")</f>
        <v>#NAME?</v>
      </c>
      <c r="P88" s="2" t="e">
        <f ca="1">_xludf.XLOOKUP(C88,Customers!$A$4:$A$53,Customers!$F$4:$F$53,"Not found")</f>
        <v>#NAME?</v>
      </c>
      <c r="Q88" s="2" t="e">
        <f ca="1">_xludf.XLOOKUP(D88,Products!$A$4:$A$23,Products!$B$4:$B$23,"Not found")</f>
        <v>#NAME?</v>
      </c>
      <c r="R88" s="2" t="e">
        <f ca="1">_xludf.XLOOKUP(D88,Products!$A$4:$A$23,Products!$C$4:$C$23,"Not found")</f>
        <v>#NAME?</v>
      </c>
      <c r="S88" s="2" t="e">
        <f ca="1">_xludf.XLOOKUP(E88,Sales_Reps!$A$4:$A$11,Sales_Reps!$B$4:$B$11,"Not found")</f>
        <v>#NAME?</v>
      </c>
      <c r="T88" s="2" t="e">
        <f ca="1">_xludf.XLOOKUP(E88,Sales_Reps!$A$4:$A$11,Sales_Reps!$C$4:$C$11,"Not found")</f>
        <v>#NAME?</v>
      </c>
      <c r="U88" s="2"/>
      <c r="V88" s="2"/>
      <c r="W88" s="2"/>
      <c r="X88" s="2"/>
      <c r="Y88" s="2"/>
      <c r="Z88" s="2"/>
    </row>
    <row r="89" spans="1:26">
      <c r="A89" s="2" t="s">
        <v>393</v>
      </c>
      <c r="B89" s="6">
        <v>46100</v>
      </c>
      <c r="C89" s="2" t="s">
        <v>206</v>
      </c>
      <c r="D89" s="2" t="s">
        <v>275</v>
      </c>
      <c r="E89" s="2" t="s">
        <v>298</v>
      </c>
      <c r="F89" s="2">
        <v>2</v>
      </c>
      <c r="G89" s="4">
        <v>450</v>
      </c>
      <c r="H89" s="5">
        <v>0.05</v>
      </c>
      <c r="I89" s="4">
        <v>855</v>
      </c>
      <c r="J89" s="4">
        <v>188.1</v>
      </c>
      <c r="K89" s="2" t="s">
        <v>309</v>
      </c>
      <c r="L89" s="2" t="e">
        <f ca="1">_xludf.XLOOKUP(C89,Customers!$A$4:$A$53,Customers!$B$4:$B$53,"Not found")</f>
        <v>#NAME?</v>
      </c>
      <c r="M89" s="2" t="e">
        <f ca="1">_xludf.XLOOKUP(C89,Customers!$A$4:$A$53,Customers!$C$4:$C$53,"Not found")</f>
        <v>#NAME?</v>
      </c>
      <c r="N89" s="2" t="e">
        <f ca="1">_xludf.XLOOKUP(C89,Customers!$A$4:$A$53,Customers!$D$4:$D$53,"Not found")</f>
        <v>#NAME?</v>
      </c>
      <c r="O89" s="2" t="e">
        <f ca="1">_xludf.XLOOKUP(C89,Customers!$A$4:$A$53,Customers!$E$4:$E$53,"Not found")</f>
        <v>#NAME?</v>
      </c>
      <c r="P89" s="2" t="e">
        <f ca="1">_xludf.XLOOKUP(C89,Customers!$A$4:$A$53,Customers!$F$4:$F$53,"Not found")</f>
        <v>#NAME?</v>
      </c>
      <c r="Q89" s="2" t="e">
        <f ca="1">_xludf.XLOOKUP(D89,Products!$A$4:$A$23,Products!$B$4:$B$23,"Not found")</f>
        <v>#NAME?</v>
      </c>
      <c r="R89" s="2" t="e">
        <f ca="1">_xludf.XLOOKUP(D89,Products!$A$4:$A$23,Products!$C$4:$C$23,"Not found")</f>
        <v>#NAME?</v>
      </c>
      <c r="S89" s="2" t="e">
        <f ca="1">_xludf.XLOOKUP(E89,Sales_Reps!$A$4:$A$11,Sales_Reps!$B$4:$B$11,"Not found")</f>
        <v>#NAME?</v>
      </c>
      <c r="T89" s="2" t="e">
        <f ca="1">_xludf.XLOOKUP(E89,Sales_Reps!$A$4:$A$11,Sales_Reps!$C$4:$C$11,"Not found")</f>
        <v>#NAME?</v>
      </c>
      <c r="U89" s="2"/>
      <c r="V89" s="2"/>
      <c r="W89" s="2"/>
      <c r="X89" s="2"/>
      <c r="Y89" s="2"/>
      <c r="Z89" s="2"/>
    </row>
    <row r="90" spans="1:26" ht="15">
      <c r="A90" s="2" t="s">
        <v>394</v>
      </c>
      <c r="B90" s="6">
        <v>46033</v>
      </c>
      <c r="C90" s="2" t="s">
        <v>160</v>
      </c>
      <c r="D90" s="2" t="s">
        <v>271</v>
      </c>
      <c r="E90" s="2" t="s">
        <v>294</v>
      </c>
      <c r="F90" s="2">
        <v>2</v>
      </c>
      <c r="G90" s="4">
        <v>2800</v>
      </c>
      <c r="H90" s="5">
        <v>0.1</v>
      </c>
      <c r="I90" s="4">
        <v>5040</v>
      </c>
      <c r="J90" s="4">
        <v>2620.8000000000002</v>
      </c>
      <c r="K90" s="2" t="s">
        <v>309</v>
      </c>
      <c r="L90" s="2" t="e">
        <f ca="1">_xludf.XLOOKUP(C90,Customers!$A$4:$A$53,Customers!$B$4:$B$53,"Not found")</f>
        <v>#NAME?</v>
      </c>
      <c r="M90" s="2" t="e">
        <f ca="1">_xludf.XLOOKUP(C90,Customers!$A$4:$A$53,Customers!$C$4:$C$53,"Not found")</f>
        <v>#NAME?</v>
      </c>
      <c r="N90" s="2" t="e">
        <f ca="1">_xludf.XLOOKUP(C90,Customers!$A$4:$A$53,Customers!$D$4:$D$53,"Not found")</f>
        <v>#NAME?</v>
      </c>
      <c r="O90" s="2" t="e">
        <f ca="1">_xludf.XLOOKUP(C90,Customers!$A$4:$A$53,Customers!$E$4:$E$53,"Not found")</f>
        <v>#NAME?</v>
      </c>
      <c r="P90" s="2" t="e">
        <f ca="1">_xludf.XLOOKUP(C90,Customers!$A$4:$A$53,Customers!$F$4:$F$53,"Not found")</f>
        <v>#NAME?</v>
      </c>
      <c r="Q90" s="2" t="e">
        <f ca="1">_xludf.XLOOKUP(D90,Products!$A$4:$A$23,Products!$B$4:$B$23,"Not found")</f>
        <v>#NAME?</v>
      </c>
      <c r="R90" s="2" t="e">
        <f ca="1">_xludf.XLOOKUP(D90,Products!$A$4:$A$23,Products!$C$4:$C$23,"Not found")</f>
        <v>#NAME?</v>
      </c>
      <c r="S90" s="2" t="e">
        <f ca="1">_xludf.XLOOKUP(E90,Sales_Reps!$A$4:$A$11,Sales_Reps!$B$4:$B$11,"Not found")</f>
        <v>#NAME?</v>
      </c>
      <c r="T90" s="2" t="e">
        <f ca="1">_xludf.XLOOKUP(E90,Sales_Reps!$A$4:$A$11,Sales_Reps!$C$4:$C$11,"Not found")</f>
        <v>#NAME?</v>
      </c>
      <c r="U90" s="2"/>
      <c r="V90" s="2"/>
      <c r="W90" s="2"/>
      <c r="X90" s="2"/>
      <c r="Y90" s="2"/>
      <c r="Z90" s="2"/>
    </row>
    <row r="91" spans="1:26">
      <c r="A91" s="2" t="s">
        <v>395</v>
      </c>
      <c r="B91" s="6">
        <v>46170</v>
      </c>
      <c r="C91" s="2" t="s">
        <v>225</v>
      </c>
      <c r="D91" s="2" t="s">
        <v>259</v>
      </c>
      <c r="E91" s="2" t="s">
        <v>290</v>
      </c>
      <c r="F91" s="2">
        <v>2</v>
      </c>
      <c r="G91" s="4">
        <v>450</v>
      </c>
      <c r="H91" s="5">
        <v>0</v>
      </c>
      <c r="I91" s="4">
        <v>900</v>
      </c>
      <c r="J91" s="4">
        <v>558</v>
      </c>
      <c r="K91" s="2" t="s">
        <v>313</v>
      </c>
      <c r="L91" s="2" t="e">
        <f ca="1">_xludf.XLOOKUP(C91,Customers!$A$4:$A$53,Customers!$B$4:$B$53,"Not found")</f>
        <v>#NAME?</v>
      </c>
      <c r="M91" s="2" t="e">
        <f ca="1">_xludf.XLOOKUP(C91,Customers!$A$4:$A$53,Customers!$C$4:$C$53,"Not found")</f>
        <v>#NAME?</v>
      </c>
      <c r="N91" s="2" t="e">
        <f ca="1">_xludf.XLOOKUP(C91,Customers!$A$4:$A$53,Customers!$D$4:$D$53,"Not found")</f>
        <v>#NAME?</v>
      </c>
      <c r="O91" s="2" t="e">
        <f ca="1">_xludf.XLOOKUP(C91,Customers!$A$4:$A$53,Customers!$E$4:$E$53,"Not found")</f>
        <v>#NAME?</v>
      </c>
      <c r="P91" s="2" t="e">
        <f ca="1">_xludf.XLOOKUP(C91,Customers!$A$4:$A$53,Customers!$F$4:$F$53,"Not found")</f>
        <v>#NAME?</v>
      </c>
      <c r="Q91" s="2" t="e">
        <f ca="1">_xludf.XLOOKUP(D91,Products!$A$4:$A$23,Products!$B$4:$B$23,"Not found")</f>
        <v>#NAME?</v>
      </c>
      <c r="R91" s="2" t="e">
        <f ca="1">_xludf.XLOOKUP(D91,Products!$A$4:$A$23,Products!$C$4:$C$23,"Not found")</f>
        <v>#NAME?</v>
      </c>
      <c r="S91" s="2" t="e">
        <f ca="1">_xludf.XLOOKUP(E91,Sales_Reps!$A$4:$A$11,Sales_Reps!$B$4:$B$11,"Not found")</f>
        <v>#NAME?</v>
      </c>
      <c r="T91" s="2" t="e">
        <f ca="1">_xludf.XLOOKUP(E91,Sales_Reps!$A$4:$A$11,Sales_Reps!$C$4:$C$11,"Not found")</f>
        <v>#NAME?</v>
      </c>
      <c r="U91" s="2"/>
      <c r="V91" s="2"/>
      <c r="W91" s="2"/>
      <c r="X91" s="2"/>
      <c r="Y91" s="2"/>
      <c r="Z91" s="2"/>
    </row>
    <row r="92" spans="1:26" ht="15">
      <c r="A92" s="2" t="s">
        <v>396</v>
      </c>
      <c r="B92" s="6">
        <v>46136</v>
      </c>
      <c r="C92" s="2" t="s">
        <v>108</v>
      </c>
      <c r="D92" s="2" t="s">
        <v>254</v>
      </c>
      <c r="E92" s="2" t="s">
        <v>290</v>
      </c>
      <c r="F92" s="2">
        <v>8</v>
      </c>
      <c r="G92" s="4">
        <v>3500</v>
      </c>
      <c r="H92" s="5">
        <v>0.1</v>
      </c>
      <c r="I92" s="4">
        <v>25200</v>
      </c>
      <c r="J92" s="4">
        <v>13860</v>
      </c>
      <c r="K92" s="2" t="s">
        <v>306</v>
      </c>
      <c r="L92" s="2" t="e">
        <f ca="1">_xludf.XLOOKUP(C92,Customers!$A$4:$A$53,Customers!$B$4:$B$53,"Not found")</f>
        <v>#NAME?</v>
      </c>
      <c r="M92" s="2" t="e">
        <f ca="1">_xludf.XLOOKUP(C92,Customers!$A$4:$A$53,Customers!$C$4:$C$53,"Not found")</f>
        <v>#NAME?</v>
      </c>
      <c r="N92" s="2" t="e">
        <f ca="1">_xludf.XLOOKUP(C92,Customers!$A$4:$A$53,Customers!$D$4:$D$53,"Not found")</f>
        <v>#NAME?</v>
      </c>
      <c r="O92" s="2" t="e">
        <f ca="1">_xludf.XLOOKUP(C92,Customers!$A$4:$A$53,Customers!$E$4:$E$53,"Not found")</f>
        <v>#NAME?</v>
      </c>
      <c r="P92" s="2" t="e">
        <f ca="1">_xludf.XLOOKUP(C92,Customers!$A$4:$A$53,Customers!$F$4:$F$53,"Not found")</f>
        <v>#NAME?</v>
      </c>
      <c r="Q92" s="2" t="e">
        <f ca="1">_xludf.XLOOKUP(D92,Products!$A$4:$A$23,Products!$B$4:$B$23,"Not found")</f>
        <v>#NAME?</v>
      </c>
      <c r="R92" s="2" t="e">
        <f ca="1">_xludf.XLOOKUP(D92,Products!$A$4:$A$23,Products!$C$4:$C$23,"Not found")</f>
        <v>#NAME?</v>
      </c>
      <c r="S92" s="2" t="e">
        <f ca="1">_xludf.XLOOKUP(E92,Sales_Reps!$A$4:$A$11,Sales_Reps!$B$4:$B$11,"Not found")</f>
        <v>#NAME?</v>
      </c>
      <c r="T92" s="2" t="e">
        <f ca="1">_xludf.XLOOKUP(E92,Sales_Reps!$A$4:$A$11,Sales_Reps!$C$4:$C$11,"Not found")</f>
        <v>#NAME?</v>
      </c>
      <c r="U92" s="2"/>
      <c r="V92" s="2"/>
      <c r="W92" s="2"/>
      <c r="X92" s="2"/>
      <c r="Y92" s="2"/>
      <c r="Z92" s="2"/>
    </row>
    <row r="93" spans="1:26">
      <c r="A93" s="2" t="s">
        <v>397</v>
      </c>
      <c r="B93" s="6">
        <v>46112</v>
      </c>
      <c r="C93" s="2" t="s">
        <v>146</v>
      </c>
      <c r="D93" s="2" t="s">
        <v>275</v>
      </c>
      <c r="E93" s="2" t="s">
        <v>296</v>
      </c>
      <c r="F93" s="2">
        <v>2</v>
      </c>
      <c r="G93" s="4">
        <v>450</v>
      </c>
      <c r="H93" s="5">
        <v>0.05</v>
      </c>
      <c r="I93" s="4">
        <v>855</v>
      </c>
      <c r="J93" s="4">
        <v>188.1</v>
      </c>
      <c r="K93" s="2" t="s">
        <v>309</v>
      </c>
      <c r="L93" s="2" t="e">
        <f ca="1">_xludf.XLOOKUP(C93,Customers!$A$4:$A$53,Customers!$B$4:$B$53,"Not found")</f>
        <v>#NAME?</v>
      </c>
      <c r="M93" s="2" t="e">
        <f ca="1">_xludf.XLOOKUP(C93,Customers!$A$4:$A$53,Customers!$C$4:$C$53,"Not found")</f>
        <v>#NAME?</v>
      </c>
      <c r="N93" s="2" t="e">
        <f ca="1">_xludf.XLOOKUP(C93,Customers!$A$4:$A$53,Customers!$D$4:$D$53,"Not found")</f>
        <v>#NAME?</v>
      </c>
      <c r="O93" s="2" t="e">
        <f ca="1">_xludf.XLOOKUP(C93,Customers!$A$4:$A$53,Customers!$E$4:$E$53,"Not found")</f>
        <v>#NAME?</v>
      </c>
      <c r="P93" s="2" t="e">
        <f ca="1">_xludf.XLOOKUP(C93,Customers!$A$4:$A$53,Customers!$F$4:$F$53,"Not found")</f>
        <v>#NAME?</v>
      </c>
      <c r="Q93" s="2" t="e">
        <f ca="1">_xludf.XLOOKUP(D93,Products!$A$4:$A$23,Products!$B$4:$B$23,"Not found")</f>
        <v>#NAME?</v>
      </c>
      <c r="R93" s="2" t="e">
        <f ca="1">_xludf.XLOOKUP(D93,Products!$A$4:$A$23,Products!$C$4:$C$23,"Not found")</f>
        <v>#NAME?</v>
      </c>
      <c r="S93" s="2" t="e">
        <f ca="1">_xludf.XLOOKUP(E93,Sales_Reps!$A$4:$A$11,Sales_Reps!$B$4:$B$11,"Not found")</f>
        <v>#NAME?</v>
      </c>
      <c r="T93" s="2" t="e">
        <f ca="1">_xludf.XLOOKUP(E93,Sales_Reps!$A$4:$A$11,Sales_Reps!$C$4:$C$11,"Not found")</f>
        <v>#NAME?</v>
      </c>
      <c r="U93" s="2"/>
      <c r="V93" s="2"/>
      <c r="W93" s="2"/>
      <c r="X93" s="2"/>
      <c r="Y93" s="2"/>
      <c r="Z93" s="2"/>
    </row>
    <row r="94" spans="1:26">
      <c r="A94" s="2" t="s">
        <v>398</v>
      </c>
      <c r="B94" s="6">
        <v>46149</v>
      </c>
      <c r="C94" s="2" t="s">
        <v>169</v>
      </c>
      <c r="D94" s="2" t="s">
        <v>259</v>
      </c>
      <c r="E94" s="2" t="s">
        <v>290</v>
      </c>
      <c r="F94" s="2">
        <v>6</v>
      </c>
      <c r="G94" s="4">
        <v>450</v>
      </c>
      <c r="H94" s="5">
        <v>0.05</v>
      </c>
      <c r="I94" s="4">
        <v>2565</v>
      </c>
      <c r="J94" s="4">
        <v>1590.3</v>
      </c>
      <c r="K94" s="2" t="s">
        <v>306</v>
      </c>
      <c r="L94" s="2" t="e">
        <f ca="1">_xludf.XLOOKUP(C94,Customers!$A$4:$A$53,Customers!$B$4:$B$53,"Not found")</f>
        <v>#NAME?</v>
      </c>
      <c r="M94" s="2" t="e">
        <f ca="1">_xludf.XLOOKUP(C94,Customers!$A$4:$A$53,Customers!$C$4:$C$53,"Not found")</f>
        <v>#NAME?</v>
      </c>
      <c r="N94" s="2" t="e">
        <f ca="1">_xludf.XLOOKUP(C94,Customers!$A$4:$A$53,Customers!$D$4:$D$53,"Not found")</f>
        <v>#NAME?</v>
      </c>
      <c r="O94" s="2" t="e">
        <f ca="1">_xludf.XLOOKUP(C94,Customers!$A$4:$A$53,Customers!$E$4:$E$53,"Not found")</f>
        <v>#NAME?</v>
      </c>
      <c r="P94" s="2" t="e">
        <f ca="1">_xludf.XLOOKUP(C94,Customers!$A$4:$A$53,Customers!$F$4:$F$53,"Not found")</f>
        <v>#NAME?</v>
      </c>
      <c r="Q94" s="2" t="e">
        <f ca="1">_xludf.XLOOKUP(D94,Products!$A$4:$A$23,Products!$B$4:$B$23,"Not found")</f>
        <v>#NAME?</v>
      </c>
      <c r="R94" s="2" t="e">
        <f ca="1">_xludf.XLOOKUP(D94,Products!$A$4:$A$23,Products!$C$4:$C$23,"Not found")</f>
        <v>#NAME?</v>
      </c>
      <c r="S94" s="2" t="e">
        <f ca="1">_xludf.XLOOKUP(E94,Sales_Reps!$A$4:$A$11,Sales_Reps!$B$4:$B$11,"Not found")</f>
        <v>#NAME?</v>
      </c>
      <c r="T94" s="2" t="e">
        <f ca="1">_xludf.XLOOKUP(E94,Sales_Reps!$A$4:$A$11,Sales_Reps!$C$4:$C$11,"Not found")</f>
        <v>#NAME?</v>
      </c>
      <c r="U94" s="2"/>
      <c r="V94" s="2"/>
      <c r="W94" s="2"/>
      <c r="X94" s="2"/>
      <c r="Y94" s="2"/>
      <c r="Z94" s="2"/>
    </row>
    <row r="95" spans="1:26" ht="15">
      <c r="A95" s="2" t="s">
        <v>399</v>
      </c>
      <c r="B95" s="6">
        <v>46103</v>
      </c>
      <c r="C95" s="2" t="s">
        <v>215</v>
      </c>
      <c r="D95" s="2" t="s">
        <v>263</v>
      </c>
      <c r="E95" s="2" t="s">
        <v>75</v>
      </c>
      <c r="F95" s="2">
        <v>8</v>
      </c>
      <c r="G95" s="4">
        <v>800</v>
      </c>
      <c r="H95" s="5">
        <v>0</v>
      </c>
      <c r="I95" s="4">
        <v>6400</v>
      </c>
      <c r="J95" s="4">
        <v>1728</v>
      </c>
      <c r="K95" s="2" t="s">
        <v>306</v>
      </c>
      <c r="L95" s="2" t="e">
        <f ca="1">_xludf.XLOOKUP(C95,Customers!$A$4:$A$53,Customers!$B$4:$B$53,"Not found")</f>
        <v>#NAME?</v>
      </c>
      <c r="M95" s="2" t="e">
        <f ca="1">_xludf.XLOOKUP(C95,Customers!$A$4:$A$53,Customers!$C$4:$C$53,"Not found")</f>
        <v>#NAME?</v>
      </c>
      <c r="N95" s="2" t="e">
        <f ca="1">_xludf.XLOOKUP(C95,Customers!$A$4:$A$53,Customers!$D$4:$D$53,"Not found")</f>
        <v>#NAME?</v>
      </c>
      <c r="O95" s="2" t="e">
        <f ca="1">_xludf.XLOOKUP(C95,Customers!$A$4:$A$53,Customers!$E$4:$E$53,"Not found")</f>
        <v>#NAME?</v>
      </c>
      <c r="P95" s="2" t="e">
        <f ca="1">_xludf.XLOOKUP(C95,Customers!$A$4:$A$53,Customers!$F$4:$F$53,"Not found")</f>
        <v>#NAME?</v>
      </c>
      <c r="Q95" s="2" t="e">
        <f ca="1">_xludf.XLOOKUP(D95,Products!$A$4:$A$23,Products!$B$4:$B$23,"Not found")</f>
        <v>#NAME?</v>
      </c>
      <c r="R95" s="2" t="e">
        <f ca="1">_xludf.XLOOKUP(D95,Products!$A$4:$A$23,Products!$C$4:$C$23,"Not found")</f>
        <v>#NAME?</v>
      </c>
      <c r="S95" s="2" t="e">
        <f ca="1">_xludf.XLOOKUP(E95,Sales_Reps!$A$4:$A$11,Sales_Reps!$B$4:$B$11,"Not found")</f>
        <v>#NAME?</v>
      </c>
      <c r="T95" s="2" t="e">
        <f ca="1">_xludf.XLOOKUP(E95,Sales_Reps!$A$4:$A$11,Sales_Reps!$C$4:$C$11,"Not found")</f>
        <v>#NAME?</v>
      </c>
      <c r="U95" s="2"/>
      <c r="V95" s="2"/>
      <c r="W95" s="2"/>
      <c r="X95" s="2"/>
      <c r="Y95" s="2"/>
      <c r="Z95" s="2"/>
    </row>
    <row r="96" spans="1:26">
      <c r="A96" s="2" t="s">
        <v>400</v>
      </c>
      <c r="B96" s="6">
        <v>46161</v>
      </c>
      <c r="C96" s="2" t="s">
        <v>167</v>
      </c>
      <c r="D96" s="2" t="s">
        <v>242</v>
      </c>
      <c r="E96" s="2" t="s">
        <v>296</v>
      </c>
      <c r="F96" s="2">
        <v>1</v>
      </c>
      <c r="G96" s="4">
        <v>70</v>
      </c>
      <c r="H96" s="5">
        <v>0.15</v>
      </c>
      <c r="I96" s="4">
        <v>59.5</v>
      </c>
      <c r="J96" s="4">
        <v>23.8</v>
      </c>
      <c r="K96" s="2" t="s">
        <v>309</v>
      </c>
      <c r="L96" s="2" t="e">
        <f ca="1">_xludf.XLOOKUP(C96,Customers!$A$4:$A$53,Customers!$B$4:$B$53,"Not found")</f>
        <v>#NAME?</v>
      </c>
      <c r="M96" s="2" t="e">
        <f ca="1">_xludf.XLOOKUP(C96,Customers!$A$4:$A$53,Customers!$C$4:$C$53,"Not found")</f>
        <v>#NAME?</v>
      </c>
      <c r="N96" s="2" t="e">
        <f ca="1">_xludf.XLOOKUP(C96,Customers!$A$4:$A$53,Customers!$D$4:$D$53,"Not found")</f>
        <v>#NAME?</v>
      </c>
      <c r="O96" s="2" t="e">
        <f ca="1">_xludf.XLOOKUP(C96,Customers!$A$4:$A$53,Customers!$E$4:$E$53,"Not found")</f>
        <v>#NAME?</v>
      </c>
      <c r="P96" s="2" t="e">
        <f ca="1">_xludf.XLOOKUP(C96,Customers!$A$4:$A$53,Customers!$F$4:$F$53,"Not found")</f>
        <v>#NAME?</v>
      </c>
      <c r="Q96" s="2" t="e">
        <f ca="1">_xludf.XLOOKUP(D96,Products!$A$4:$A$23,Products!$B$4:$B$23,"Not found")</f>
        <v>#NAME?</v>
      </c>
      <c r="R96" s="2" t="e">
        <f ca="1">_xludf.XLOOKUP(D96,Products!$A$4:$A$23,Products!$C$4:$C$23,"Not found")</f>
        <v>#NAME?</v>
      </c>
      <c r="S96" s="2" t="e">
        <f ca="1">_xludf.XLOOKUP(E96,Sales_Reps!$A$4:$A$11,Sales_Reps!$B$4:$B$11,"Not found")</f>
        <v>#NAME?</v>
      </c>
      <c r="T96" s="2" t="e">
        <f ca="1">_xludf.XLOOKUP(E96,Sales_Reps!$A$4:$A$11,Sales_Reps!$C$4:$C$11,"Not found")</f>
        <v>#NAME?</v>
      </c>
      <c r="U96" s="2"/>
      <c r="V96" s="2"/>
      <c r="W96" s="2"/>
      <c r="X96" s="2"/>
      <c r="Y96" s="2"/>
      <c r="Z96" s="2"/>
    </row>
    <row r="97" spans="1:26" ht="15">
      <c r="A97" s="2" t="s">
        <v>401</v>
      </c>
      <c r="B97" s="6">
        <v>46136</v>
      </c>
      <c r="C97" s="2" t="s">
        <v>180</v>
      </c>
      <c r="D97" s="2" t="s">
        <v>238</v>
      </c>
      <c r="E97" s="2" t="s">
        <v>294</v>
      </c>
      <c r="F97" s="2">
        <v>8</v>
      </c>
      <c r="G97" s="4">
        <v>1800</v>
      </c>
      <c r="H97" s="5">
        <v>0.15</v>
      </c>
      <c r="I97" s="4">
        <v>12240</v>
      </c>
      <c r="J97" s="4">
        <v>3060</v>
      </c>
      <c r="K97" s="2" t="s">
        <v>306</v>
      </c>
      <c r="L97" s="2" t="e">
        <f ca="1">_xludf.XLOOKUP(C97,Customers!$A$4:$A$53,Customers!$B$4:$B$53,"Not found")</f>
        <v>#NAME?</v>
      </c>
      <c r="M97" s="2" t="e">
        <f ca="1">_xludf.XLOOKUP(C97,Customers!$A$4:$A$53,Customers!$C$4:$C$53,"Not found")</f>
        <v>#NAME?</v>
      </c>
      <c r="N97" s="2" t="e">
        <f ca="1">_xludf.XLOOKUP(C97,Customers!$A$4:$A$53,Customers!$D$4:$D$53,"Not found")</f>
        <v>#NAME?</v>
      </c>
      <c r="O97" s="2" t="e">
        <f ca="1">_xludf.XLOOKUP(C97,Customers!$A$4:$A$53,Customers!$E$4:$E$53,"Not found")</f>
        <v>#NAME?</v>
      </c>
      <c r="P97" s="2" t="e">
        <f ca="1">_xludf.XLOOKUP(C97,Customers!$A$4:$A$53,Customers!$F$4:$F$53,"Not found")</f>
        <v>#NAME?</v>
      </c>
      <c r="Q97" s="2" t="e">
        <f ca="1">_xludf.XLOOKUP(D97,Products!$A$4:$A$23,Products!$B$4:$B$23,"Not found")</f>
        <v>#NAME?</v>
      </c>
      <c r="R97" s="2" t="e">
        <f ca="1">_xludf.XLOOKUP(D97,Products!$A$4:$A$23,Products!$C$4:$C$23,"Not found")</f>
        <v>#NAME?</v>
      </c>
      <c r="S97" s="2" t="e">
        <f ca="1">_xludf.XLOOKUP(E97,Sales_Reps!$A$4:$A$11,Sales_Reps!$B$4:$B$11,"Not found")</f>
        <v>#NAME?</v>
      </c>
      <c r="T97" s="2" t="e">
        <f ca="1">_xludf.XLOOKUP(E97,Sales_Reps!$A$4:$A$11,Sales_Reps!$C$4:$C$11,"Not found")</f>
        <v>#NAME?</v>
      </c>
      <c r="U97" s="2"/>
      <c r="V97" s="2"/>
      <c r="W97" s="2"/>
      <c r="X97" s="2"/>
      <c r="Y97" s="2"/>
      <c r="Z97" s="2"/>
    </row>
    <row r="98" spans="1:26" ht="15">
      <c r="A98" s="2" t="s">
        <v>402</v>
      </c>
      <c r="B98" s="6">
        <v>46147</v>
      </c>
      <c r="C98" s="2" t="s">
        <v>152</v>
      </c>
      <c r="D98" s="2" t="s">
        <v>254</v>
      </c>
      <c r="E98" s="2" t="s">
        <v>296</v>
      </c>
      <c r="F98" s="2">
        <v>8</v>
      </c>
      <c r="G98" s="4">
        <v>3500</v>
      </c>
      <c r="H98" s="5">
        <v>0.15</v>
      </c>
      <c r="I98" s="4">
        <v>23800</v>
      </c>
      <c r="J98" s="4">
        <v>13090</v>
      </c>
      <c r="K98" s="2" t="s">
        <v>306</v>
      </c>
      <c r="L98" s="2" t="e">
        <f ca="1">_xludf.XLOOKUP(C98,Customers!$A$4:$A$53,Customers!$B$4:$B$53,"Not found")</f>
        <v>#NAME?</v>
      </c>
      <c r="M98" s="2" t="e">
        <f ca="1">_xludf.XLOOKUP(C98,Customers!$A$4:$A$53,Customers!$C$4:$C$53,"Not found")</f>
        <v>#NAME?</v>
      </c>
      <c r="N98" s="2" t="e">
        <f ca="1">_xludf.XLOOKUP(C98,Customers!$A$4:$A$53,Customers!$D$4:$D$53,"Not found")</f>
        <v>#NAME?</v>
      </c>
      <c r="O98" s="2" t="e">
        <f ca="1">_xludf.XLOOKUP(C98,Customers!$A$4:$A$53,Customers!$E$4:$E$53,"Not found")</f>
        <v>#NAME?</v>
      </c>
      <c r="P98" s="2" t="e">
        <f ca="1">_xludf.XLOOKUP(C98,Customers!$A$4:$A$53,Customers!$F$4:$F$53,"Not found")</f>
        <v>#NAME?</v>
      </c>
      <c r="Q98" s="2" t="e">
        <f ca="1">_xludf.XLOOKUP(D98,Products!$A$4:$A$23,Products!$B$4:$B$23,"Not found")</f>
        <v>#NAME?</v>
      </c>
      <c r="R98" s="2" t="e">
        <f ca="1">_xludf.XLOOKUP(D98,Products!$A$4:$A$23,Products!$C$4:$C$23,"Not found")</f>
        <v>#NAME?</v>
      </c>
      <c r="S98" s="2" t="e">
        <f ca="1">_xludf.XLOOKUP(E98,Sales_Reps!$A$4:$A$11,Sales_Reps!$B$4:$B$11,"Not found")</f>
        <v>#NAME?</v>
      </c>
      <c r="T98" s="2" t="e">
        <f ca="1">_xludf.XLOOKUP(E98,Sales_Reps!$A$4:$A$11,Sales_Reps!$C$4:$C$11,"Not found")</f>
        <v>#NAME?</v>
      </c>
      <c r="U98" s="2"/>
      <c r="V98" s="2"/>
      <c r="W98" s="2"/>
      <c r="X98" s="2"/>
      <c r="Y98" s="2"/>
      <c r="Z98" s="2"/>
    </row>
    <row r="99" spans="1:26">
      <c r="A99" s="2" t="s">
        <v>403</v>
      </c>
      <c r="B99" s="6">
        <v>46026</v>
      </c>
      <c r="C99" s="2" t="s">
        <v>108</v>
      </c>
      <c r="D99" s="2" t="s">
        <v>277</v>
      </c>
      <c r="E99" s="2" t="s">
        <v>287</v>
      </c>
      <c r="F99" s="2">
        <v>5</v>
      </c>
      <c r="G99" s="4">
        <v>900</v>
      </c>
      <c r="H99" s="5">
        <v>0.1</v>
      </c>
      <c r="I99" s="4">
        <v>4050</v>
      </c>
      <c r="J99" s="4">
        <v>1053</v>
      </c>
      <c r="K99" s="2" t="s">
        <v>313</v>
      </c>
      <c r="L99" s="2" t="e">
        <f ca="1">_xludf.XLOOKUP(C99,Customers!$A$4:$A$53,Customers!$B$4:$B$53,"Not found")</f>
        <v>#NAME?</v>
      </c>
      <c r="M99" s="2" t="e">
        <f ca="1">_xludf.XLOOKUP(C99,Customers!$A$4:$A$53,Customers!$C$4:$C$53,"Not found")</f>
        <v>#NAME?</v>
      </c>
      <c r="N99" s="2" t="e">
        <f ca="1">_xludf.XLOOKUP(C99,Customers!$A$4:$A$53,Customers!$D$4:$D$53,"Not found")</f>
        <v>#NAME?</v>
      </c>
      <c r="O99" s="2" t="e">
        <f ca="1">_xludf.XLOOKUP(C99,Customers!$A$4:$A$53,Customers!$E$4:$E$53,"Not found")</f>
        <v>#NAME?</v>
      </c>
      <c r="P99" s="2" t="e">
        <f ca="1">_xludf.XLOOKUP(C99,Customers!$A$4:$A$53,Customers!$F$4:$F$53,"Not found")</f>
        <v>#NAME?</v>
      </c>
      <c r="Q99" s="2" t="e">
        <f ca="1">_xludf.XLOOKUP(D99,Products!$A$4:$A$23,Products!$B$4:$B$23,"Not found")</f>
        <v>#NAME?</v>
      </c>
      <c r="R99" s="2" t="e">
        <f ca="1">_xludf.XLOOKUP(D99,Products!$A$4:$A$23,Products!$C$4:$C$23,"Not found")</f>
        <v>#NAME?</v>
      </c>
      <c r="S99" s="2" t="e">
        <f ca="1">_xludf.XLOOKUP(E99,Sales_Reps!$A$4:$A$11,Sales_Reps!$B$4:$B$11,"Not found")</f>
        <v>#NAME?</v>
      </c>
      <c r="T99" s="2" t="e">
        <f ca="1">_xludf.XLOOKUP(E99,Sales_Reps!$A$4:$A$11,Sales_Reps!$C$4:$C$11,"Not found")</f>
        <v>#NAME?</v>
      </c>
      <c r="U99" s="2"/>
      <c r="V99" s="2"/>
      <c r="W99" s="2"/>
      <c r="X99" s="2"/>
      <c r="Y99" s="2"/>
      <c r="Z99" s="2"/>
    </row>
    <row r="100" spans="1:26">
      <c r="A100" s="2" t="s">
        <v>404</v>
      </c>
      <c r="B100" s="6">
        <v>46062</v>
      </c>
      <c r="C100" s="2" t="s">
        <v>180</v>
      </c>
      <c r="D100" s="2" t="s">
        <v>240</v>
      </c>
      <c r="E100" s="2" t="s">
        <v>284</v>
      </c>
      <c r="F100" s="2">
        <v>8</v>
      </c>
      <c r="G100" s="4">
        <v>300</v>
      </c>
      <c r="H100" s="5">
        <v>0</v>
      </c>
      <c r="I100" s="4">
        <v>2400</v>
      </c>
      <c r="J100" s="4">
        <v>720</v>
      </c>
      <c r="K100" s="2" t="s">
        <v>309</v>
      </c>
      <c r="L100" s="2" t="e">
        <f ca="1">_xludf.XLOOKUP(C100,Customers!$A$4:$A$53,Customers!$B$4:$B$53,"Not found")</f>
        <v>#NAME?</v>
      </c>
      <c r="M100" s="2" t="e">
        <f ca="1">_xludf.XLOOKUP(C100,Customers!$A$4:$A$53,Customers!$C$4:$C$53,"Not found")</f>
        <v>#NAME?</v>
      </c>
      <c r="N100" s="2" t="e">
        <f ca="1">_xludf.XLOOKUP(C100,Customers!$A$4:$A$53,Customers!$D$4:$D$53,"Not found")</f>
        <v>#NAME?</v>
      </c>
      <c r="O100" s="2" t="e">
        <f ca="1">_xludf.XLOOKUP(C100,Customers!$A$4:$A$53,Customers!$E$4:$E$53,"Not found")</f>
        <v>#NAME?</v>
      </c>
      <c r="P100" s="2" t="e">
        <f ca="1">_xludf.XLOOKUP(C100,Customers!$A$4:$A$53,Customers!$F$4:$F$53,"Not found")</f>
        <v>#NAME?</v>
      </c>
      <c r="Q100" s="2" t="e">
        <f ca="1">_xludf.XLOOKUP(D100,Products!$A$4:$A$23,Products!$B$4:$B$23,"Not found")</f>
        <v>#NAME?</v>
      </c>
      <c r="R100" s="2" t="e">
        <f ca="1">_xludf.XLOOKUP(D100,Products!$A$4:$A$23,Products!$C$4:$C$23,"Not found")</f>
        <v>#NAME?</v>
      </c>
      <c r="S100" s="2" t="e">
        <f ca="1">_xludf.XLOOKUP(E100,Sales_Reps!$A$4:$A$11,Sales_Reps!$B$4:$B$11,"Not found")</f>
        <v>#NAME?</v>
      </c>
      <c r="T100" s="2" t="e">
        <f ca="1">_xludf.XLOOKUP(E100,Sales_Reps!$A$4:$A$11,Sales_Reps!$C$4:$C$11,"Not found")</f>
        <v>#NAME?</v>
      </c>
      <c r="U100" s="2"/>
      <c r="V100" s="2"/>
      <c r="W100" s="2"/>
      <c r="X100" s="2"/>
      <c r="Y100" s="2"/>
      <c r="Z100" s="2"/>
    </row>
    <row r="101" spans="1:26" ht="15">
      <c r="A101" s="2" t="s">
        <v>405</v>
      </c>
      <c r="B101" s="6">
        <v>46143</v>
      </c>
      <c r="C101" s="2" t="s">
        <v>221</v>
      </c>
      <c r="D101" s="2" t="s">
        <v>257</v>
      </c>
      <c r="E101" s="2" t="s">
        <v>294</v>
      </c>
      <c r="F101" s="2">
        <v>7</v>
      </c>
      <c r="G101" s="4">
        <v>1200</v>
      </c>
      <c r="H101" s="5">
        <v>0.05</v>
      </c>
      <c r="I101" s="4">
        <v>7980</v>
      </c>
      <c r="J101" s="4">
        <v>4788</v>
      </c>
      <c r="K101" s="2" t="s">
        <v>306</v>
      </c>
      <c r="L101" s="2" t="e">
        <f ca="1">_xludf.XLOOKUP(C101,Customers!$A$4:$A$53,Customers!$B$4:$B$53,"Not found")</f>
        <v>#NAME?</v>
      </c>
      <c r="M101" s="2" t="e">
        <f ca="1">_xludf.XLOOKUP(C101,Customers!$A$4:$A$53,Customers!$C$4:$C$53,"Not found")</f>
        <v>#NAME?</v>
      </c>
      <c r="N101" s="2" t="e">
        <f ca="1">_xludf.XLOOKUP(C101,Customers!$A$4:$A$53,Customers!$D$4:$D$53,"Not found")</f>
        <v>#NAME?</v>
      </c>
      <c r="O101" s="2" t="e">
        <f ca="1">_xludf.XLOOKUP(C101,Customers!$A$4:$A$53,Customers!$E$4:$E$53,"Not found")</f>
        <v>#NAME?</v>
      </c>
      <c r="P101" s="2" t="e">
        <f ca="1">_xludf.XLOOKUP(C101,Customers!$A$4:$A$53,Customers!$F$4:$F$53,"Not found")</f>
        <v>#NAME?</v>
      </c>
      <c r="Q101" s="2" t="e">
        <f ca="1">_xludf.XLOOKUP(D101,Products!$A$4:$A$23,Products!$B$4:$B$23,"Not found")</f>
        <v>#NAME?</v>
      </c>
      <c r="R101" s="2" t="e">
        <f ca="1">_xludf.XLOOKUP(D101,Products!$A$4:$A$23,Products!$C$4:$C$23,"Not found")</f>
        <v>#NAME?</v>
      </c>
      <c r="S101" s="2" t="e">
        <f ca="1">_xludf.XLOOKUP(E101,Sales_Reps!$A$4:$A$11,Sales_Reps!$B$4:$B$11,"Not found")</f>
        <v>#NAME?</v>
      </c>
      <c r="T101" s="2" t="e">
        <f ca="1">_xludf.XLOOKUP(E101,Sales_Reps!$A$4:$A$11,Sales_Reps!$C$4:$C$11,"Not found")</f>
        <v>#NAME?</v>
      </c>
      <c r="U101" s="2"/>
      <c r="V101" s="2"/>
      <c r="W101" s="2"/>
      <c r="X101" s="2"/>
      <c r="Y101" s="2"/>
      <c r="Z101" s="2"/>
    </row>
    <row r="102" spans="1:26">
      <c r="A102" s="2" t="s">
        <v>406</v>
      </c>
      <c r="B102" s="6">
        <v>46093</v>
      </c>
      <c r="C102" s="2" t="s">
        <v>186</v>
      </c>
      <c r="D102" s="2" t="s">
        <v>273</v>
      </c>
      <c r="E102" s="2" t="s">
        <v>287</v>
      </c>
      <c r="F102" s="2">
        <v>3</v>
      </c>
      <c r="G102" s="4">
        <v>350</v>
      </c>
      <c r="H102" s="5">
        <v>0</v>
      </c>
      <c r="I102" s="4">
        <v>1050</v>
      </c>
      <c r="J102" s="4">
        <v>609</v>
      </c>
      <c r="K102" s="2" t="s">
        <v>309</v>
      </c>
      <c r="L102" s="2" t="e">
        <f ca="1">_xludf.XLOOKUP(C102,Customers!$A$4:$A$53,Customers!$B$4:$B$53,"Not found")</f>
        <v>#NAME?</v>
      </c>
      <c r="M102" s="2" t="e">
        <f ca="1">_xludf.XLOOKUP(C102,Customers!$A$4:$A$53,Customers!$C$4:$C$53,"Not found")</f>
        <v>#NAME?</v>
      </c>
      <c r="N102" s="2" t="e">
        <f ca="1">_xludf.XLOOKUP(C102,Customers!$A$4:$A$53,Customers!$D$4:$D$53,"Not found")</f>
        <v>#NAME?</v>
      </c>
      <c r="O102" s="2" t="e">
        <f ca="1">_xludf.XLOOKUP(C102,Customers!$A$4:$A$53,Customers!$E$4:$E$53,"Not found")</f>
        <v>#NAME?</v>
      </c>
      <c r="P102" s="2" t="e">
        <f ca="1">_xludf.XLOOKUP(C102,Customers!$A$4:$A$53,Customers!$F$4:$F$53,"Not found")</f>
        <v>#NAME?</v>
      </c>
      <c r="Q102" s="2" t="e">
        <f ca="1">_xludf.XLOOKUP(D102,Products!$A$4:$A$23,Products!$B$4:$B$23,"Not found")</f>
        <v>#NAME?</v>
      </c>
      <c r="R102" s="2" t="e">
        <f ca="1">_xludf.XLOOKUP(D102,Products!$A$4:$A$23,Products!$C$4:$C$23,"Not found")</f>
        <v>#NAME?</v>
      </c>
      <c r="S102" s="2" t="e">
        <f ca="1">_xludf.XLOOKUP(E102,Sales_Reps!$A$4:$A$11,Sales_Reps!$B$4:$B$11,"Not found")</f>
        <v>#NAME?</v>
      </c>
      <c r="T102" s="2" t="e">
        <f ca="1">_xludf.XLOOKUP(E102,Sales_Reps!$A$4:$A$11,Sales_Reps!$C$4:$C$11,"Not found")</f>
        <v>#NAME?</v>
      </c>
      <c r="U102" s="2"/>
      <c r="V102" s="2"/>
      <c r="W102" s="2"/>
      <c r="X102" s="2"/>
      <c r="Y102" s="2"/>
      <c r="Z102" s="2"/>
    </row>
    <row r="103" spans="1:26" ht="15">
      <c r="A103" s="2" t="s">
        <v>407</v>
      </c>
      <c r="B103" s="6">
        <v>46099</v>
      </c>
      <c r="C103" s="2" t="s">
        <v>169</v>
      </c>
      <c r="D103" s="2" t="s">
        <v>271</v>
      </c>
      <c r="E103" s="2" t="s">
        <v>290</v>
      </c>
      <c r="F103" s="2">
        <v>5</v>
      </c>
      <c r="G103" s="4">
        <v>2800</v>
      </c>
      <c r="H103" s="5">
        <v>0.15</v>
      </c>
      <c r="I103" s="4">
        <v>11900</v>
      </c>
      <c r="J103" s="4">
        <v>6188</v>
      </c>
      <c r="K103" s="2" t="s">
        <v>313</v>
      </c>
      <c r="L103" s="2" t="e">
        <f ca="1">_xludf.XLOOKUP(C103,Customers!$A$4:$A$53,Customers!$B$4:$B$53,"Not found")</f>
        <v>#NAME?</v>
      </c>
      <c r="M103" s="2" t="e">
        <f ca="1">_xludf.XLOOKUP(C103,Customers!$A$4:$A$53,Customers!$C$4:$C$53,"Not found")</f>
        <v>#NAME?</v>
      </c>
      <c r="N103" s="2" t="e">
        <f ca="1">_xludf.XLOOKUP(C103,Customers!$A$4:$A$53,Customers!$D$4:$D$53,"Not found")</f>
        <v>#NAME?</v>
      </c>
      <c r="O103" s="2" t="e">
        <f ca="1">_xludf.XLOOKUP(C103,Customers!$A$4:$A$53,Customers!$E$4:$E$53,"Not found")</f>
        <v>#NAME?</v>
      </c>
      <c r="P103" s="2" t="e">
        <f ca="1">_xludf.XLOOKUP(C103,Customers!$A$4:$A$53,Customers!$F$4:$F$53,"Not found")</f>
        <v>#NAME?</v>
      </c>
      <c r="Q103" s="2" t="e">
        <f ca="1">_xludf.XLOOKUP(D103,Products!$A$4:$A$23,Products!$B$4:$B$23,"Not found")</f>
        <v>#NAME?</v>
      </c>
      <c r="R103" s="2" t="e">
        <f ca="1">_xludf.XLOOKUP(D103,Products!$A$4:$A$23,Products!$C$4:$C$23,"Not found")</f>
        <v>#NAME?</v>
      </c>
      <c r="S103" s="2" t="e">
        <f ca="1">_xludf.XLOOKUP(E103,Sales_Reps!$A$4:$A$11,Sales_Reps!$B$4:$B$11,"Not found")</f>
        <v>#NAME?</v>
      </c>
      <c r="T103" s="2" t="e">
        <f ca="1">_xludf.XLOOKUP(E103,Sales_Reps!$A$4:$A$11,Sales_Reps!$C$4:$C$11,"Not found")</f>
        <v>#NAME?</v>
      </c>
      <c r="U103" s="2"/>
      <c r="V103" s="2"/>
      <c r="W103" s="2"/>
      <c r="X103" s="2"/>
      <c r="Y103" s="2"/>
      <c r="Z103" s="2"/>
    </row>
    <row r="104" spans="1:26" ht="15">
      <c r="A104" s="2" t="s">
        <v>408</v>
      </c>
      <c r="B104" s="6">
        <v>46108</v>
      </c>
      <c r="C104" s="2" t="s">
        <v>204</v>
      </c>
      <c r="D104" s="2" t="s">
        <v>269</v>
      </c>
      <c r="E104" s="2" t="s">
        <v>298</v>
      </c>
      <c r="F104" s="2">
        <v>8</v>
      </c>
      <c r="G104" s="4">
        <v>1100</v>
      </c>
      <c r="H104" s="5">
        <v>0</v>
      </c>
      <c r="I104" s="4">
        <v>8800</v>
      </c>
      <c r="J104" s="4">
        <v>5984</v>
      </c>
      <c r="K104" s="2" t="s">
        <v>313</v>
      </c>
      <c r="L104" s="2" t="e">
        <f ca="1">_xludf.XLOOKUP(C104,Customers!$A$4:$A$53,Customers!$B$4:$B$53,"Not found")</f>
        <v>#NAME?</v>
      </c>
      <c r="M104" s="2" t="e">
        <f ca="1">_xludf.XLOOKUP(C104,Customers!$A$4:$A$53,Customers!$C$4:$C$53,"Not found")</f>
        <v>#NAME?</v>
      </c>
      <c r="N104" s="2" t="e">
        <f ca="1">_xludf.XLOOKUP(C104,Customers!$A$4:$A$53,Customers!$D$4:$D$53,"Not found")</f>
        <v>#NAME?</v>
      </c>
      <c r="O104" s="2" t="e">
        <f ca="1">_xludf.XLOOKUP(C104,Customers!$A$4:$A$53,Customers!$E$4:$E$53,"Not found")</f>
        <v>#NAME?</v>
      </c>
      <c r="P104" s="2" t="e">
        <f ca="1">_xludf.XLOOKUP(C104,Customers!$A$4:$A$53,Customers!$F$4:$F$53,"Not found")</f>
        <v>#NAME?</v>
      </c>
      <c r="Q104" s="2" t="e">
        <f ca="1">_xludf.XLOOKUP(D104,Products!$A$4:$A$23,Products!$B$4:$B$23,"Not found")</f>
        <v>#NAME?</v>
      </c>
      <c r="R104" s="2" t="e">
        <f ca="1">_xludf.XLOOKUP(D104,Products!$A$4:$A$23,Products!$C$4:$C$23,"Not found")</f>
        <v>#NAME?</v>
      </c>
      <c r="S104" s="2" t="e">
        <f ca="1">_xludf.XLOOKUP(E104,Sales_Reps!$A$4:$A$11,Sales_Reps!$B$4:$B$11,"Not found")</f>
        <v>#NAME?</v>
      </c>
      <c r="T104" s="2" t="e">
        <f ca="1">_xludf.XLOOKUP(E104,Sales_Reps!$A$4:$A$11,Sales_Reps!$C$4:$C$11,"Not found")</f>
        <v>#NAME?</v>
      </c>
      <c r="U104" s="2"/>
      <c r="V104" s="2"/>
      <c r="W104" s="2"/>
      <c r="X104" s="2"/>
      <c r="Y104" s="2"/>
      <c r="Z104" s="2"/>
    </row>
    <row r="105" spans="1:26">
      <c r="A105" s="2" t="s">
        <v>409</v>
      </c>
      <c r="B105" s="6">
        <v>46084</v>
      </c>
      <c r="C105" s="2" t="s">
        <v>227</v>
      </c>
      <c r="D105" s="2" t="s">
        <v>273</v>
      </c>
      <c r="E105" s="2" t="s">
        <v>292</v>
      </c>
      <c r="F105" s="2">
        <v>4</v>
      </c>
      <c r="G105" s="4">
        <v>350</v>
      </c>
      <c r="H105" s="5">
        <v>0.15</v>
      </c>
      <c r="I105" s="4">
        <v>1190</v>
      </c>
      <c r="J105" s="4">
        <v>690.2</v>
      </c>
      <c r="K105" s="2" t="s">
        <v>313</v>
      </c>
      <c r="L105" s="2" t="e">
        <f ca="1">_xludf.XLOOKUP(C105,Customers!$A$4:$A$53,Customers!$B$4:$B$53,"Not found")</f>
        <v>#NAME?</v>
      </c>
      <c r="M105" s="2" t="e">
        <f ca="1">_xludf.XLOOKUP(C105,Customers!$A$4:$A$53,Customers!$C$4:$C$53,"Not found")</f>
        <v>#NAME?</v>
      </c>
      <c r="N105" s="2" t="e">
        <f ca="1">_xludf.XLOOKUP(C105,Customers!$A$4:$A$53,Customers!$D$4:$D$53,"Not found")</f>
        <v>#NAME?</v>
      </c>
      <c r="O105" s="2" t="e">
        <f ca="1">_xludf.XLOOKUP(C105,Customers!$A$4:$A$53,Customers!$E$4:$E$53,"Not found")</f>
        <v>#NAME?</v>
      </c>
      <c r="P105" s="2" t="e">
        <f ca="1">_xludf.XLOOKUP(C105,Customers!$A$4:$A$53,Customers!$F$4:$F$53,"Not found")</f>
        <v>#NAME?</v>
      </c>
      <c r="Q105" s="2" t="e">
        <f ca="1">_xludf.XLOOKUP(D105,Products!$A$4:$A$23,Products!$B$4:$B$23,"Not found")</f>
        <v>#NAME?</v>
      </c>
      <c r="R105" s="2" t="e">
        <f ca="1">_xludf.XLOOKUP(D105,Products!$A$4:$A$23,Products!$C$4:$C$23,"Not found")</f>
        <v>#NAME?</v>
      </c>
      <c r="S105" s="2" t="e">
        <f ca="1">_xludf.XLOOKUP(E105,Sales_Reps!$A$4:$A$11,Sales_Reps!$B$4:$B$11,"Not found")</f>
        <v>#NAME?</v>
      </c>
      <c r="T105" s="2" t="e">
        <f ca="1">_xludf.XLOOKUP(E105,Sales_Reps!$A$4:$A$11,Sales_Reps!$C$4:$C$11,"Not found")</f>
        <v>#NAME?</v>
      </c>
      <c r="U105" s="2"/>
      <c r="V105" s="2"/>
      <c r="W105" s="2"/>
      <c r="X105" s="2"/>
      <c r="Y105" s="2"/>
      <c r="Z105" s="2"/>
    </row>
    <row r="106" spans="1:26">
      <c r="A106" s="2" t="s">
        <v>410</v>
      </c>
      <c r="B106" s="6">
        <v>46144</v>
      </c>
      <c r="C106" s="2" t="s">
        <v>175</v>
      </c>
      <c r="D106" s="2" t="s">
        <v>252</v>
      </c>
      <c r="E106" s="2" t="s">
        <v>296</v>
      </c>
      <c r="F106" s="2">
        <v>1</v>
      </c>
      <c r="G106" s="4">
        <v>900</v>
      </c>
      <c r="H106" s="5">
        <v>0</v>
      </c>
      <c r="I106" s="4">
        <v>900</v>
      </c>
      <c r="J106" s="4">
        <v>630</v>
      </c>
      <c r="K106" s="2" t="s">
        <v>309</v>
      </c>
      <c r="L106" s="2" t="e">
        <f ca="1">_xludf.XLOOKUP(C106,Customers!$A$4:$A$53,Customers!$B$4:$B$53,"Not found")</f>
        <v>#NAME?</v>
      </c>
      <c r="M106" s="2" t="e">
        <f ca="1">_xludf.XLOOKUP(C106,Customers!$A$4:$A$53,Customers!$C$4:$C$53,"Not found")</f>
        <v>#NAME?</v>
      </c>
      <c r="N106" s="2" t="e">
        <f ca="1">_xludf.XLOOKUP(C106,Customers!$A$4:$A$53,Customers!$D$4:$D$53,"Not found")</f>
        <v>#NAME?</v>
      </c>
      <c r="O106" s="2" t="e">
        <f ca="1">_xludf.XLOOKUP(C106,Customers!$A$4:$A$53,Customers!$E$4:$E$53,"Not found")</f>
        <v>#NAME?</v>
      </c>
      <c r="P106" s="2" t="e">
        <f ca="1">_xludf.XLOOKUP(C106,Customers!$A$4:$A$53,Customers!$F$4:$F$53,"Not found")</f>
        <v>#NAME?</v>
      </c>
      <c r="Q106" s="2" t="e">
        <f ca="1">_xludf.XLOOKUP(D106,Products!$A$4:$A$23,Products!$B$4:$B$23,"Not found")</f>
        <v>#NAME?</v>
      </c>
      <c r="R106" s="2" t="e">
        <f ca="1">_xludf.XLOOKUP(D106,Products!$A$4:$A$23,Products!$C$4:$C$23,"Not found")</f>
        <v>#NAME?</v>
      </c>
      <c r="S106" s="2" t="e">
        <f ca="1">_xludf.XLOOKUP(E106,Sales_Reps!$A$4:$A$11,Sales_Reps!$B$4:$B$11,"Not found")</f>
        <v>#NAME?</v>
      </c>
      <c r="T106" s="2" t="e">
        <f ca="1">_xludf.XLOOKUP(E106,Sales_Reps!$A$4:$A$11,Sales_Reps!$C$4:$C$11,"Not found")</f>
        <v>#NAME?</v>
      </c>
      <c r="U106" s="2"/>
      <c r="V106" s="2"/>
      <c r="W106" s="2"/>
      <c r="X106" s="2"/>
      <c r="Y106" s="2"/>
      <c r="Z106" s="2"/>
    </row>
    <row r="107" spans="1:26">
      <c r="A107" s="2" t="s">
        <v>411</v>
      </c>
      <c r="B107" s="6">
        <v>46107</v>
      </c>
      <c r="C107" s="2" t="s">
        <v>175</v>
      </c>
      <c r="D107" s="2" t="s">
        <v>245</v>
      </c>
      <c r="E107" s="2" t="s">
        <v>287</v>
      </c>
      <c r="F107" s="2">
        <v>3</v>
      </c>
      <c r="G107" s="4">
        <v>35</v>
      </c>
      <c r="H107" s="5">
        <v>0.1</v>
      </c>
      <c r="I107" s="4">
        <v>94.5</v>
      </c>
      <c r="J107" s="4">
        <v>39.69</v>
      </c>
      <c r="K107" s="2" t="s">
        <v>306</v>
      </c>
      <c r="L107" s="2" t="e">
        <f ca="1">_xludf.XLOOKUP(C107,Customers!$A$4:$A$53,Customers!$B$4:$B$53,"Not found")</f>
        <v>#NAME?</v>
      </c>
      <c r="M107" s="2" t="e">
        <f ca="1">_xludf.XLOOKUP(C107,Customers!$A$4:$A$53,Customers!$C$4:$C$53,"Not found")</f>
        <v>#NAME?</v>
      </c>
      <c r="N107" s="2" t="e">
        <f ca="1">_xludf.XLOOKUP(C107,Customers!$A$4:$A$53,Customers!$D$4:$D$53,"Not found")</f>
        <v>#NAME?</v>
      </c>
      <c r="O107" s="2" t="e">
        <f ca="1">_xludf.XLOOKUP(C107,Customers!$A$4:$A$53,Customers!$E$4:$E$53,"Not found")</f>
        <v>#NAME?</v>
      </c>
      <c r="P107" s="2" t="e">
        <f ca="1">_xludf.XLOOKUP(C107,Customers!$A$4:$A$53,Customers!$F$4:$F$53,"Not found")</f>
        <v>#NAME?</v>
      </c>
      <c r="Q107" s="2" t="e">
        <f ca="1">_xludf.XLOOKUP(D107,Products!$A$4:$A$23,Products!$B$4:$B$23,"Not found")</f>
        <v>#NAME?</v>
      </c>
      <c r="R107" s="2" t="e">
        <f ca="1">_xludf.XLOOKUP(D107,Products!$A$4:$A$23,Products!$C$4:$C$23,"Not found")</f>
        <v>#NAME?</v>
      </c>
      <c r="S107" s="2" t="e">
        <f ca="1">_xludf.XLOOKUP(E107,Sales_Reps!$A$4:$A$11,Sales_Reps!$B$4:$B$11,"Not found")</f>
        <v>#NAME?</v>
      </c>
      <c r="T107" s="2" t="e">
        <f ca="1">_xludf.XLOOKUP(E107,Sales_Reps!$A$4:$A$11,Sales_Reps!$C$4:$C$11,"Not found")</f>
        <v>#NAME?</v>
      </c>
      <c r="U107" s="2"/>
      <c r="V107" s="2"/>
      <c r="W107" s="2"/>
      <c r="X107" s="2"/>
      <c r="Y107" s="2"/>
      <c r="Z107" s="2"/>
    </row>
    <row r="108" spans="1:26">
      <c r="A108" s="2" t="s">
        <v>412</v>
      </c>
      <c r="B108" s="6">
        <v>46059</v>
      </c>
      <c r="C108" s="2" t="s">
        <v>184</v>
      </c>
      <c r="D108" s="2" t="s">
        <v>242</v>
      </c>
      <c r="E108" s="2" t="s">
        <v>294</v>
      </c>
      <c r="F108" s="2">
        <v>1</v>
      </c>
      <c r="G108" s="4">
        <v>70</v>
      </c>
      <c r="H108" s="5">
        <v>0.15</v>
      </c>
      <c r="I108" s="4">
        <v>59.5</v>
      </c>
      <c r="J108" s="4">
        <v>23.8</v>
      </c>
      <c r="K108" s="2" t="s">
        <v>309</v>
      </c>
      <c r="L108" s="2" t="e">
        <f ca="1">_xludf.XLOOKUP(C108,Customers!$A$4:$A$53,Customers!$B$4:$B$53,"Not found")</f>
        <v>#NAME?</v>
      </c>
      <c r="M108" s="2" t="e">
        <f ca="1">_xludf.XLOOKUP(C108,Customers!$A$4:$A$53,Customers!$C$4:$C$53,"Not found")</f>
        <v>#NAME?</v>
      </c>
      <c r="N108" s="2" t="e">
        <f ca="1">_xludf.XLOOKUP(C108,Customers!$A$4:$A$53,Customers!$D$4:$D$53,"Not found")</f>
        <v>#NAME?</v>
      </c>
      <c r="O108" s="2" t="e">
        <f ca="1">_xludf.XLOOKUP(C108,Customers!$A$4:$A$53,Customers!$E$4:$E$53,"Not found")</f>
        <v>#NAME?</v>
      </c>
      <c r="P108" s="2" t="e">
        <f ca="1">_xludf.XLOOKUP(C108,Customers!$A$4:$A$53,Customers!$F$4:$F$53,"Not found")</f>
        <v>#NAME?</v>
      </c>
      <c r="Q108" s="2" t="e">
        <f ca="1">_xludf.XLOOKUP(D108,Products!$A$4:$A$23,Products!$B$4:$B$23,"Not found")</f>
        <v>#NAME?</v>
      </c>
      <c r="R108" s="2" t="e">
        <f ca="1">_xludf.XLOOKUP(D108,Products!$A$4:$A$23,Products!$C$4:$C$23,"Not found")</f>
        <v>#NAME?</v>
      </c>
      <c r="S108" s="2" t="e">
        <f ca="1">_xludf.XLOOKUP(E108,Sales_Reps!$A$4:$A$11,Sales_Reps!$B$4:$B$11,"Not found")</f>
        <v>#NAME?</v>
      </c>
      <c r="T108" s="2" t="e">
        <f ca="1">_xludf.XLOOKUP(E108,Sales_Reps!$A$4:$A$11,Sales_Reps!$C$4:$C$11,"Not found")</f>
        <v>#NAME?</v>
      </c>
      <c r="U108" s="2"/>
      <c r="V108" s="2"/>
      <c r="W108" s="2"/>
      <c r="X108" s="2"/>
      <c r="Y108" s="2"/>
      <c r="Z108" s="2"/>
    </row>
    <row r="109" spans="1:26">
      <c r="A109" s="2" t="s">
        <v>413</v>
      </c>
      <c r="B109" s="6">
        <v>46124</v>
      </c>
      <c r="C109" s="2" t="s">
        <v>212</v>
      </c>
      <c r="D109" s="2" t="s">
        <v>245</v>
      </c>
      <c r="E109" s="2" t="s">
        <v>298</v>
      </c>
      <c r="F109" s="2">
        <v>6</v>
      </c>
      <c r="G109" s="4">
        <v>35</v>
      </c>
      <c r="H109" s="5">
        <v>0.1</v>
      </c>
      <c r="I109" s="4">
        <v>189</v>
      </c>
      <c r="J109" s="4">
        <v>79.38</v>
      </c>
      <c r="K109" s="2" t="s">
        <v>306</v>
      </c>
      <c r="L109" s="2" t="e">
        <f ca="1">_xludf.XLOOKUP(C109,Customers!$A$4:$A$53,Customers!$B$4:$B$53,"Not found")</f>
        <v>#NAME?</v>
      </c>
      <c r="M109" s="2" t="e">
        <f ca="1">_xludf.XLOOKUP(C109,Customers!$A$4:$A$53,Customers!$C$4:$C$53,"Not found")</f>
        <v>#NAME?</v>
      </c>
      <c r="N109" s="2" t="e">
        <f ca="1">_xludf.XLOOKUP(C109,Customers!$A$4:$A$53,Customers!$D$4:$D$53,"Not found")</f>
        <v>#NAME?</v>
      </c>
      <c r="O109" s="2" t="e">
        <f ca="1">_xludf.XLOOKUP(C109,Customers!$A$4:$A$53,Customers!$E$4:$E$53,"Not found")</f>
        <v>#NAME?</v>
      </c>
      <c r="P109" s="2" t="e">
        <f ca="1">_xludf.XLOOKUP(C109,Customers!$A$4:$A$53,Customers!$F$4:$F$53,"Not found")</f>
        <v>#NAME?</v>
      </c>
      <c r="Q109" s="2" t="e">
        <f ca="1">_xludf.XLOOKUP(D109,Products!$A$4:$A$23,Products!$B$4:$B$23,"Not found")</f>
        <v>#NAME?</v>
      </c>
      <c r="R109" s="2" t="e">
        <f ca="1">_xludf.XLOOKUP(D109,Products!$A$4:$A$23,Products!$C$4:$C$23,"Not found")</f>
        <v>#NAME?</v>
      </c>
      <c r="S109" s="2" t="e">
        <f ca="1">_xludf.XLOOKUP(E109,Sales_Reps!$A$4:$A$11,Sales_Reps!$B$4:$B$11,"Not found")</f>
        <v>#NAME?</v>
      </c>
      <c r="T109" s="2" t="e">
        <f ca="1">_xludf.XLOOKUP(E109,Sales_Reps!$A$4:$A$11,Sales_Reps!$C$4:$C$11,"Not found")</f>
        <v>#NAME?</v>
      </c>
      <c r="U109" s="2"/>
      <c r="V109" s="2"/>
      <c r="W109" s="2"/>
      <c r="X109" s="2"/>
      <c r="Y109" s="2"/>
      <c r="Z109" s="2"/>
    </row>
    <row r="110" spans="1:26">
      <c r="A110" s="2" t="s">
        <v>414</v>
      </c>
      <c r="B110" s="6">
        <v>46032</v>
      </c>
      <c r="C110" s="2" t="s">
        <v>169</v>
      </c>
      <c r="D110" s="2" t="s">
        <v>273</v>
      </c>
      <c r="E110" s="2" t="s">
        <v>298</v>
      </c>
      <c r="F110" s="2">
        <v>8</v>
      </c>
      <c r="G110" s="4">
        <v>350</v>
      </c>
      <c r="H110" s="5">
        <v>0.1</v>
      </c>
      <c r="I110" s="4">
        <v>2520</v>
      </c>
      <c r="J110" s="4">
        <v>1461.6</v>
      </c>
      <c r="K110" s="2" t="s">
        <v>313</v>
      </c>
      <c r="L110" s="2" t="e">
        <f ca="1">_xludf.XLOOKUP(C110,Customers!$A$4:$A$53,Customers!$B$4:$B$53,"Not found")</f>
        <v>#NAME?</v>
      </c>
      <c r="M110" s="2" t="e">
        <f ca="1">_xludf.XLOOKUP(C110,Customers!$A$4:$A$53,Customers!$C$4:$C$53,"Not found")</f>
        <v>#NAME?</v>
      </c>
      <c r="N110" s="2" t="e">
        <f ca="1">_xludf.XLOOKUP(C110,Customers!$A$4:$A$53,Customers!$D$4:$D$53,"Not found")</f>
        <v>#NAME?</v>
      </c>
      <c r="O110" s="2" t="e">
        <f ca="1">_xludf.XLOOKUP(C110,Customers!$A$4:$A$53,Customers!$E$4:$E$53,"Not found")</f>
        <v>#NAME?</v>
      </c>
      <c r="P110" s="2" t="e">
        <f ca="1">_xludf.XLOOKUP(C110,Customers!$A$4:$A$53,Customers!$F$4:$F$53,"Not found")</f>
        <v>#NAME?</v>
      </c>
      <c r="Q110" s="2" t="e">
        <f ca="1">_xludf.XLOOKUP(D110,Products!$A$4:$A$23,Products!$B$4:$B$23,"Not found")</f>
        <v>#NAME?</v>
      </c>
      <c r="R110" s="2" t="e">
        <f ca="1">_xludf.XLOOKUP(D110,Products!$A$4:$A$23,Products!$C$4:$C$23,"Not found")</f>
        <v>#NAME?</v>
      </c>
      <c r="S110" s="2" t="e">
        <f ca="1">_xludf.XLOOKUP(E110,Sales_Reps!$A$4:$A$11,Sales_Reps!$B$4:$B$11,"Not found")</f>
        <v>#NAME?</v>
      </c>
      <c r="T110" s="2" t="e">
        <f ca="1">_xludf.XLOOKUP(E110,Sales_Reps!$A$4:$A$11,Sales_Reps!$C$4:$C$11,"Not found")</f>
        <v>#NAME?</v>
      </c>
      <c r="U110" s="2"/>
      <c r="V110" s="2"/>
      <c r="W110" s="2"/>
      <c r="X110" s="2"/>
      <c r="Y110" s="2"/>
      <c r="Z110" s="2"/>
    </row>
    <row r="111" spans="1:26">
      <c r="A111" s="2" t="s">
        <v>415</v>
      </c>
      <c r="B111" s="6">
        <v>46046</v>
      </c>
      <c r="C111" s="2" t="s">
        <v>122</v>
      </c>
      <c r="D111" s="2" t="s">
        <v>252</v>
      </c>
      <c r="E111" s="2" t="s">
        <v>292</v>
      </c>
      <c r="F111" s="2">
        <v>4</v>
      </c>
      <c r="G111" s="4">
        <v>900</v>
      </c>
      <c r="H111" s="5">
        <v>0.15</v>
      </c>
      <c r="I111" s="4">
        <v>3060</v>
      </c>
      <c r="J111" s="4">
        <v>2142</v>
      </c>
      <c r="K111" s="2" t="s">
        <v>309</v>
      </c>
      <c r="L111" s="2" t="e">
        <f ca="1">_xludf.XLOOKUP(C111,Customers!$A$4:$A$53,Customers!$B$4:$B$53,"Not found")</f>
        <v>#NAME?</v>
      </c>
      <c r="M111" s="2" t="e">
        <f ca="1">_xludf.XLOOKUP(C111,Customers!$A$4:$A$53,Customers!$C$4:$C$53,"Not found")</f>
        <v>#NAME?</v>
      </c>
      <c r="N111" s="2" t="e">
        <f ca="1">_xludf.XLOOKUP(C111,Customers!$A$4:$A$53,Customers!$D$4:$D$53,"Not found")</f>
        <v>#NAME?</v>
      </c>
      <c r="O111" s="2" t="e">
        <f ca="1">_xludf.XLOOKUP(C111,Customers!$A$4:$A$53,Customers!$E$4:$E$53,"Not found")</f>
        <v>#NAME?</v>
      </c>
      <c r="P111" s="2" t="e">
        <f ca="1">_xludf.XLOOKUP(C111,Customers!$A$4:$A$53,Customers!$F$4:$F$53,"Not found")</f>
        <v>#NAME?</v>
      </c>
      <c r="Q111" s="2" t="e">
        <f ca="1">_xludf.XLOOKUP(D111,Products!$A$4:$A$23,Products!$B$4:$B$23,"Not found")</f>
        <v>#NAME?</v>
      </c>
      <c r="R111" s="2" t="e">
        <f ca="1">_xludf.XLOOKUP(D111,Products!$A$4:$A$23,Products!$C$4:$C$23,"Not found")</f>
        <v>#NAME?</v>
      </c>
      <c r="S111" s="2" t="e">
        <f ca="1">_xludf.XLOOKUP(E111,Sales_Reps!$A$4:$A$11,Sales_Reps!$B$4:$B$11,"Not found")</f>
        <v>#NAME?</v>
      </c>
      <c r="T111" s="2" t="e">
        <f ca="1">_xludf.XLOOKUP(E111,Sales_Reps!$A$4:$A$11,Sales_Reps!$C$4:$C$11,"Not found")</f>
        <v>#NAME?</v>
      </c>
      <c r="U111" s="2"/>
      <c r="V111" s="2"/>
      <c r="W111" s="2"/>
      <c r="X111" s="2"/>
      <c r="Y111" s="2"/>
      <c r="Z111" s="2"/>
    </row>
    <row r="112" spans="1:26">
      <c r="A112" s="2" t="s">
        <v>416</v>
      </c>
      <c r="B112" s="6">
        <v>46106</v>
      </c>
      <c r="C112" s="2" t="s">
        <v>128</v>
      </c>
      <c r="D112" s="2" t="s">
        <v>242</v>
      </c>
      <c r="E112" s="2" t="s">
        <v>294</v>
      </c>
      <c r="F112" s="2">
        <v>1</v>
      </c>
      <c r="G112" s="4">
        <v>70</v>
      </c>
      <c r="H112" s="5">
        <v>0</v>
      </c>
      <c r="I112" s="4">
        <v>70</v>
      </c>
      <c r="J112" s="4">
        <v>28</v>
      </c>
      <c r="K112" s="2" t="s">
        <v>306</v>
      </c>
      <c r="L112" s="2" t="e">
        <f ca="1">_xludf.XLOOKUP(C112,Customers!$A$4:$A$53,Customers!$B$4:$B$53,"Not found")</f>
        <v>#NAME?</v>
      </c>
      <c r="M112" s="2" t="e">
        <f ca="1">_xludf.XLOOKUP(C112,Customers!$A$4:$A$53,Customers!$C$4:$C$53,"Not found")</f>
        <v>#NAME?</v>
      </c>
      <c r="N112" s="2" t="e">
        <f ca="1">_xludf.XLOOKUP(C112,Customers!$A$4:$A$53,Customers!$D$4:$D$53,"Not found")</f>
        <v>#NAME?</v>
      </c>
      <c r="O112" s="2" t="e">
        <f ca="1">_xludf.XLOOKUP(C112,Customers!$A$4:$A$53,Customers!$E$4:$E$53,"Not found")</f>
        <v>#NAME?</v>
      </c>
      <c r="P112" s="2" t="e">
        <f ca="1">_xludf.XLOOKUP(C112,Customers!$A$4:$A$53,Customers!$F$4:$F$53,"Not found")</f>
        <v>#NAME?</v>
      </c>
      <c r="Q112" s="2" t="e">
        <f ca="1">_xludf.XLOOKUP(D112,Products!$A$4:$A$23,Products!$B$4:$B$23,"Not found")</f>
        <v>#NAME?</v>
      </c>
      <c r="R112" s="2" t="e">
        <f ca="1">_xludf.XLOOKUP(D112,Products!$A$4:$A$23,Products!$C$4:$C$23,"Not found")</f>
        <v>#NAME?</v>
      </c>
      <c r="S112" s="2" t="e">
        <f ca="1">_xludf.XLOOKUP(E112,Sales_Reps!$A$4:$A$11,Sales_Reps!$B$4:$B$11,"Not found")</f>
        <v>#NAME?</v>
      </c>
      <c r="T112" s="2" t="e">
        <f ca="1">_xludf.XLOOKUP(E112,Sales_Reps!$A$4:$A$11,Sales_Reps!$C$4:$C$11,"Not found")</f>
        <v>#NAME?</v>
      </c>
      <c r="U112" s="2"/>
      <c r="V112" s="2"/>
      <c r="W112" s="2"/>
      <c r="X112" s="2"/>
      <c r="Y112" s="2"/>
      <c r="Z112" s="2"/>
    </row>
    <row r="113" spans="1:26" ht="15">
      <c r="A113" s="2" t="s">
        <v>417</v>
      </c>
      <c r="B113" s="6">
        <v>46128</v>
      </c>
      <c r="C113" s="2" t="s">
        <v>162</v>
      </c>
      <c r="D113" s="2" t="s">
        <v>261</v>
      </c>
      <c r="E113" s="2" t="s">
        <v>284</v>
      </c>
      <c r="F113" s="2">
        <v>4</v>
      </c>
      <c r="G113" s="4">
        <v>2200</v>
      </c>
      <c r="H113" s="5">
        <v>0.1</v>
      </c>
      <c r="I113" s="4">
        <v>7920</v>
      </c>
      <c r="J113" s="4">
        <v>3960</v>
      </c>
      <c r="K113" s="2" t="s">
        <v>313</v>
      </c>
      <c r="L113" s="2" t="e">
        <f ca="1">_xludf.XLOOKUP(C113,Customers!$A$4:$A$53,Customers!$B$4:$B$53,"Not found")</f>
        <v>#NAME?</v>
      </c>
      <c r="M113" s="2" t="e">
        <f ca="1">_xludf.XLOOKUP(C113,Customers!$A$4:$A$53,Customers!$C$4:$C$53,"Not found")</f>
        <v>#NAME?</v>
      </c>
      <c r="N113" s="2" t="e">
        <f ca="1">_xludf.XLOOKUP(C113,Customers!$A$4:$A$53,Customers!$D$4:$D$53,"Not found")</f>
        <v>#NAME?</v>
      </c>
      <c r="O113" s="2" t="e">
        <f ca="1">_xludf.XLOOKUP(C113,Customers!$A$4:$A$53,Customers!$E$4:$E$53,"Not found")</f>
        <v>#NAME?</v>
      </c>
      <c r="P113" s="2" t="e">
        <f ca="1">_xludf.XLOOKUP(C113,Customers!$A$4:$A$53,Customers!$F$4:$F$53,"Not found")</f>
        <v>#NAME?</v>
      </c>
      <c r="Q113" s="2" t="e">
        <f ca="1">_xludf.XLOOKUP(D113,Products!$A$4:$A$23,Products!$B$4:$B$23,"Not found")</f>
        <v>#NAME?</v>
      </c>
      <c r="R113" s="2" t="e">
        <f ca="1">_xludf.XLOOKUP(D113,Products!$A$4:$A$23,Products!$C$4:$C$23,"Not found")</f>
        <v>#NAME?</v>
      </c>
      <c r="S113" s="2" t="e">
        <f ca="1">_xludf.XLOOKUP(E113,Sales_Reps!$A$4:$A$11,Sales_Reps!$B$4:$B$11,"Not found")</f>
        <v>#NAME?</v>
      </c>
      <c r="T113" s="2" t="e">
        <f ca="1">_xludf.XLOOKUP(E113,Sales_Reps!$A$4:$A$11,Sales_Reps!$C$4:$C$11,"Not found")</f>
        <v>#NAME?</v>
      </c>
      <c r="U113" s="2"/>
      <c r="V113" s="2"/>
      <c r="W113" s="2"/>
      <c r="X113" s="2"/>
      <c r="Y113" s="2"/>
      <c r="Z113" s="2"/>
    </row>
    <row r="114" spans="1:26">
      <c r="A114" s="2" t="s">
        <v>418</v>
      </c>
      <c r="B114" s="6">
        <v>46084</v>
      </c>
      <c r="C114" s="2" t="s">
        <v>217</v>
      </c>
      <c r="D114" s="2" t="s">
        <v>247</v>
      </c>
      <c r="E114" s="2" t="s">
        <v>290</v>
      </c>
      <c r="F114" s="2">
        <v>7</v>
      </c>
      <c r="G114" s="4">
        <v>250</v>
      </c>
      <c r="H114" s="5">
        <v>0.1</v>
      </c>
      <c r="I114" s="4">
        <v>1575</v>
      </c>
      <c r="J114" s="4">
        <v>551.25</v>
      </c>
      <c r="K114" s="2" t="s">
        <v>309</v>
      </c>
      <c r="L114" s="2" t="e">
        <f ca="1">_xludf.XLOOKUP(C114,Customers!$A$4:$A$53,Customers!$B$4:$B$53,"Not found")</f>
        <v>#NAME?</v>
      </c>
      <c r="M114" s="2" t="e">
        <f ca="1">_xludf.XLOOKUP(C114,Customers!$A$4:$A$53,Customers!$C$4:$C$53,"Not found")</f>
        <v>#NAME?</v>
      </c>
      <c r="N114" s="2" t="e">
        <f ca="1">_xludf.XLOOKUP(C114,Customers!$A$4:$A$53,Customers!$D$4:$D$53,"Not found")</f>
        <v>#NAME?</v>
      </c>
      <c r="O114" s="2" t="e">
        <f ca="1">_xludf.XLOOKUP(C114,Customers!$A$4:$A$53,Customers!$E$4:$E$53,"Not found")</f>
        <v>#NAME?</v>
      </c>
      <c r="P114" s="2" t="e">
        <f ca="1">_xludf.XLOOKUP(C114,Customers!$A$4:$A$53,Customers!$F$4:$F$53,"Not found")</f>
        <v>#NAME?</v>
      </c>
      <c r="Q114" s="2" t="e">
        <f ca="1">_xludf.XLOOKUP(D114,Products!$A$4:$A$23,Products!$B$4:$B$23,"Not found")</f>
        <v>#NAME?</v>
      </c>
      <c r="R114" s="2" t="e">
        <f ca="1">_xludf.XLOOKUP(D114,Products!$A$4:$A$23,Products!$C$4:$C$23,"Not found")</f>
        <v>#NAME?</v>
      </c>
      <c r="S114" s="2" t="e">
        <f ca="1">_xludf.XLOOKUP(E114,Sales_Reps!$A$4:$A$11,Sales_Reps!$B$4:$B$11,"Not found")</f>
        <v>#NAME?</v>
      </c>
      <c r="T114" s="2" t="e">
        <f ca="1">_xludf.XLOOKUP(E114,Sales_Reps!$A$4:$A$11,Sales_Reps!$C$4:$C$11,"Not found")</f>
        <v>#NAME?</v>
      </c>
      <c r="U114" s="2"/>
      <c r="V114" s="2"/>
      <c r="W114" s="2"/>
      <c r="X114" s="2"/>
      <c r="Y114" s="2"/>
      <c r="Z114" s="2"/>
    </row>
    <row r="115" spans="1:26">
      <c r="A115" s="2" t="s">
        <v>419</v>
      </c>
      <c r="B115" s="6">
        <v>46025</v>
      </c>
      <c r="C115" s="2" t="s">
        <v>204</v>
      </c>
      <c r="D115" s="2" t="s">
        <v>245</v>
      </c>
      <c r="E115" s="2" t="s">
        <v>292</v>
      </c>
      <c r="F115" s="2">
        <v>8</v>
      </c>
      <c r="G115" s="4">
        <v>35</v>
      </c>
      <c r="H115" s="5">
        <v>0</v>
      </c>
      <c r="I115" s="4">
        <v>280</v>
      </c>
      <c r="J115" s="4">
        <v>117.6</v>
      </c>
      <c r="K115" s="2" t="s">
        <v>309</v>
      </c>
      <c r="L115" s="2" t="e">
        <f ca="1">_xludf.XLOOKUP(C115,Customers!$A$4:$A$53,Customers!$B$4:$B$53,"Not found")</f>
        <v>#NAME?</v>
      </c>
      <c r="M115" s="2" t="e">
        <f ca="1">_xludf.XLOOKUP(C115,Customers!$A$4:$A$53,Customers!$C$4:$C$53,"Not found")</f>
        <v>#NAME?</v>
      </c>
      <c r="N115" s="2" t="e">
        <f ca="1">_xludf.XLOOKUP(C115,Customers!$A$4:$A$53,Customers!$D$4:$D$53,"Not found")</f>
        <v>#NAME?</v>
      </c>
      <c r="O115" s="2" t="e">
        <f ca="1">_xludf.XLOOKUP(C115,Customers!$A$4:$A$53,Customers!$E$4:$E$53,"Not found")</f>
        <v>#NAME?</v>
      </c>
      <c r="P115" s="2" t="e">
        <f ca="1">_xludf.XLOOKUP(C115,Customers!$A$4:$A$53,Customers!$F$4:$F$53,"Not found")</f>
        <v>#NAME?</v>
      </c>
      <c r="Q115" s="2" t="e">
        <f ca="1">_xludf.XLOOKUP(D115,Products!$A$4:$A$23,Products!$B$4:$B$23,"Not found")</f>
        <v>#NAME?</v>
      </c>
      <c r="R115" s="2" t="e">
        <f ca="1">_xludf.XLOOKUP(D115,Products!$A$4:$A$23,Products!$C$4:$C$23,"Not found")</f>
        <v>#NAME?</v>
      </c>
      <c r="S115" s="2" t="e">
        <f ca="1">_xludf.XLOOKUP(E115,Sales_Reps!$A$4:$A$11,Sales_Reps!$B$4:$B$11,"Not found")</f>
        <v>#NAME?</v>
      </c>
      <c r="T115" s="2" t="e">
        <f ca="1">_xludf.XLOOKUP(E115,Sales_Reps!$A$4:$A$11,Sales_Reps!$C$4:$C$11,"Not found")</f>
        <v>#NAME?</v>
      </c>
      <c r="U115" s="2"/>
      <c r="V115" s="2"/>
      <c r="W115" s="2"/>
      <c r="X115" s="2"/>
      <c r="Y115" s="2"/>
      <c r="Z115" s="2"/>
    </row>
    <row r="116" spans="1:26">
      <c r="A116" s="2" t="s">
        <v>420</v>
      </c>
      <c r="B116" s="6">
        <v>46099</v>
      </c>
      <c r="C116" s="2" t="s">
        <v>162</v>
      </c>
      <c r="D116" s="2" t="s">
        <v>273</v>
      </c>
      <c r="E116" s="2" t="s">
        <v>294</v>
      </c>
      <c r="F116" s="2">
        <v>6</v>
      </c>
      <c r="G116" s="4">
        <v>350</v>
      </c>
      <c r="H116" s="5">
        <v>0.1</v>
      </c>
      <c r="I116" s="4">
        <v>1890</v>
      </c>
      <c r="J116" s="4">
        <v>1096.2</v>
      </c>
      <c r="K116" s="2" t="s">
        <v>309</v>
      </c>
      <c r="L116" s="2" t="e">
        <f ca="1">_xludf.XLOOKUP(C116,Customers!$A$4:$A$53,Customers!$B$4:$B$53,"Not found")</f>
        <v>#NAME?</v>
      </c>
      <c r="M116" s="2" t="e">
        <f ca="1">_xludf.XLOOKUP(C116,Customers!$A$4:$A$53,Customers!$C$4:$C$53,"Not found")</f>
        <v>#NAME?</v>
      </c>
      <c r="N116" s="2" t="e">
        <f ca="1">_xludf.XLOOKUP(C116,Customers!$A$4:$A$53,Customers!$D$4:$D$53,"Not found")</f>
        <v>#NAME?</v>
      </c>
      <c r="O116" s="2" t="e">
        <f ca="1">_xludf.XLOOKUP(C116,Customers!$A$4:$A$53,Customers!$E$4:$E$53,"Not found")</f>
        <v>#NAME?</v>
      </c>
      <c r="P116" s="2" t="e">
        <f ca="1">_xludf.XLOOKUP(C116,Customers!$A$4:$A$53,Customers!$F$4:$F$53,"Not found")</f>
        <v>#NAME?</v>
      </c>
      <c r="Q116" s="2" t="e">
        <f ca="1">_xludf.XLOOKUP(D116,Products!$A$4:$A$23,Products!$B$4:$B$23,"Not found")</f>
        <v>#NAME?</v>
      </c>
      <c r="R116" s="2" t="e">
        <f ca="1">_xludf.XLOOKUP(D116,Products!$A$4:$A$23,Products!$C$4:$C$23,"Not found")</f>
        <v>#NAME?</v>
      </c>
      <c r="S116" s="2" t="e">
        <f ca="1">_xludf.XLOOKUP(E116,Sales_Reps!$A$4:$A$11,Sales_Reps!$B$4:$B$11,"Not found")</f>
        <v>#NAME?</v>
      </c>
      <c r="T116" s="2" t="e">
        <f ca="1">_xludf.XLOOKUP(E116,Sales_Reps!$A$4:$A$11,Sales_Reps!$C$4:$C$11,"Not found")</f>
        <v>#NAME?</v>
      </c>
      <c r="U116" s="2"/>
      <c r="V116" s="2"/>
      <c r="W116" s="2"/>
      <c r="X116" s="2"/>
      <c r="Y116" s="2"/>
      <c r="Z116" s="2"/>
    </row>
    <row r="117" spans="1:26" ht="15">
      <c r="A117" s="2" t="s">
        <v>421</v>
      </c>
      <c r="B117" s="6">
        <v>46146</v>
      </c>
      <c r="C117" s="2" t="s">
        <v>219</v>
      </c>
      <c r="D117" s="2" t="s">
        <v>254</v>
      </c>
      <c r="E117" s="2" t="s">
        <v>292</v>
      </c>
      <c r="F117" s="2">
        <v>4</v>
      </c>
      <c r="G117" s="4">
        <v>3500</v>
      </c>
      <c r="H117" s="5">
        <v>0.05</v>
      </c>
      <c r="I117" s="4">
        <v>13300</v>
      </c>
      <c r="J117" s="4">
        <v>7315</v>
      </c>
      <c r="K117" s="2" t="s">
        <v>306</v>
      </c>
      <c r="L117" s="2" t="e">
        <f ca="1">_xludf.XLOOKUP(C117,Customers!$A$4:$A$53,Customers!$B$4:$B$53,"Not found")</f>
        <v>#NAME?</v>
      </c>
      <c r="M117" s="2" t="e">
        <f ca="1">_xludf.XLOOKUP(C117,Customers!$A$4:$A$53,Customers!$C$4:$C$53,"Not found")</f>
        <v>#NAME?</v>
      </c>
      <c r="N117" s="2" t="e">
        <f ca="1">_xludf.XLOOKUP(C117,Customers!$A$4:$A$53,Customers!$D$4:$D$53,"Not found")</f>
        <v>#NAME?</v>
      </c>
      <c r="O117" s="2" t="e">
        <f ca="1">_xludf.XLOOKUP(C117,Customers!$A$4:$A$53,Customers!$E$4:$E$53,"Not found")</f>
        <v>#NAME?</v>
      </c>
      <c r="P117" s="2" t="e">
        <f ca="1">_xludf.XLOOKUP(C117,Customers!$A$4:$A$53,Customers!$F$4:$F$53,"Not found")</f>
        <v>#NAME?</v>
      </c>
      <c r="Q117" s="2" t="e">
        <f ca="1">_xludf.XLOOKUP(D117,Products!$A$4:$A$23,Products!$B$4:$B$23,"Not found")</f>
        <v>#NAME?</v>
      </c>
      <c r="R117" s="2" t="e">
        <f ca="1">_xludf.XLOOKUP(D117,Products!$A$4:$A$23,Products!$C$4:$C$23,"Not found")</f>
        <v>#NAME?</v>
      </c>
      <c r="S117" s="2" t="e">
        <f ca="1">_xludf.XLOOKUP(E117,Sales_Reps!$A$4:$A$11,Sales_Reps!$B$4:$B$11,"Not found")</f>
        <v>#NAME?</v>
      </c>
      <c r="T117" s="2" t="e">
        <f ca="1">_xludf.XLOOKUP(E117,Sales_Reps!$A$4:$A$11,Sales_Reps!$C$4:$C$11,"Not found")</f>
        <v>#NAME?</v>
      </c>
      <c r="U117" s="2"/>
      <c r="V117" s="2"/>
      <c r="W117" s="2"/>
      <c r="X117" s="2"/>
      <c r="Y117" s="2"/>
      <c r="Z117" s="2"/>
    </row>
    <row r="118" spans="1:26">
      <c r="A118" s="2" t="s">
        <v>422</v>
      </c>
      <c r="B118" s="6">
        <v>46124</v>
      </c>
      <c r="C118" s="2" t="s">
        <v>156</v>
      </c>
      <c r="D118" s="2" t="s">
        <v>263</v>
      </c>
      <c r="E118" s="2" t="s">
        <v>298</v>
      </c>
      <c r="F118" s="2">
        <v>5</v>
      </c>
      <c r="G118" s="4">
        <v>800</v>
      </c>
      <c r="H118" s="5">
        <v>0</v>
      </c>
      <c r="I118" s="4">
        <v>4000</v>
      </c>
      <c r="J118" s="4">
        <v>1080</v>
      </c>
      <c r="K118" s="2" t="s">
        <v>306</v>
      </c>
      <c r="L118" s="2" t="e">
        <f ca="1">_xludf.XLOOKUP(C118,Customers!$A$4:$A$53,Customers!$B$4:$B$53,"Not found")</f>
        <v>#NAME?</v>
      </c>
      <c r="M118" s="2" t="e">
        <f ca="1">_xludf.XLOOKUP(C118,Customers!$A$4:$A$53,Customers!$C$4:$C$53,"Not found")</f>
        <v>#NAME?</v>
      </c>
      <c r="N118" s="2" t="e">
        <f ca="1">_xludf.XLOOKUP(C118,Customers!$A$4:$A$53,Customers!$D$4:$D$53,"Not found")</f>
        <v>#NAME?</v>
      </c>
      <c r="O118" s="2" t="e">
        <f ca="1">_xludf.XLOOKUP(C118,Customers!$A$4:$A$53,Customers!$E$4:$E$53,"Not found")</f>
        <v>#NAME?</v>
      </c>
      <c r="P118" s="2" t="e">
        <f ca="1">_xludf.XLOOKUP(C118,Customers!$A$4:$A$53,Customers!$F$4:$F$53,"Not found")</f>
        <v>#NAME?</v>
      </c>
      <c r="Q118" s="2" t="e">
        <f ca="1">_xludf.XLOOKUP(D118,Products!$A$4:$A$23,Products!$B$4:$B$23,"Not found")</f>
        <v>#NAME?</v>
      </c>
      <c r="R118" s="2" t="e">
        <f ca="1">_xludf.XLOOKUP(D118,Products!$A$4:$A$23,Products!$C$4:$C$23,"Not found")</f>
        <v>#NAME?</v>
      </c>
      <c r="S118" s="2" t="e">
        <f ca="1">_xludf.XLOOKUP(E118,Sales_Reps!$A$4:$A$11,Sales_Reps!$B$4:$B$11,"Not found")</f>
        <v>#NAME?</v>
      </c>
      <c r="T118" s="2" t="e">
        <f ca="1">_xludf.XLOOKUP(E118,Sales_Reps!$A$4:$A$11,Sales_Reps!$C$4:$C$11,"Not found")</f>
        <v>#NAME?</v>
      </c>
      <c r="U118" s="2"/>
      <c r="V118" s="2"/>
      <c r="W118" s="2"/>
      <c r="X118" s="2"/>
      <c r="Y118" s="2"/>
      <c r="Z118" s="2"/>
    </row>
    <row r="119" spans="1:26">
      <c r="A119" s="2" t="s">
        <v>423</v>
      </c>
      <c r="B119" s="6">
        <v>46081</v>
      </c>
      <c r="C119" s="2" t="s">
        <v>65</v>
      </c>
      <c r="D119" s="2" t="s">
        <v>275</v>
      </c>
      <c r="E119" s="2" t="s">
        <v>75</v>
      </c>
      <c r="F119" s="2">
        <v>8</v>
      </c>
      <c r="G119" s="4">
        <v>450</v>
      </c>
      <c r="H119" s="5">
        <v>0</v>
      </c>
      <c r="I119" s="4">
        <v>3600</v>
      </c>
      <c r="J119" s="4">
        <v>792</v>
      </c>
      <c r="K119" s="2" t="s">
        <v>313</v>
      </c>
      <c r="L119" s="2" t="e">
        <f ca="1">_xludf.XLOOKUP(C119,Customers!$A$4:$A$53,Customers!$B$4:$B$53,"Not found")</f>
        <v>#NAME?</v>
      </c>
      <c r="M119" s="2" t="e">
        <f ca="1">_xludf.XLOOKUP(C119,Customers!$A$4:$A$53,Customers!$C$4:$C$53,"Not found")</f>
        <v>#NAME?</v>
      </c>
      <c r="N119" s="2" t="e">
        <f ca="1">_xludf.XLOOKUP(C119,Customers!$A$4:$A$53,Customers!$D$4:$D$53,"Not found")</f>
        <v>#NAME?</v>
      </c>
      <c r="O119" s="2" t="e">
        <f ca="1">_xludf.XLOOKUP(C119,Customers!$A$4:$A$53,Customers!$E$4:$E$53,"Not found")</f>
        <v>#NAME?</v>
      </c>
      <c r="P119" s="2" t="e">
        <f ca="1">_xludf.XLOOKUP(C119,Customers!$A$4:$A$53,Customers!$F$4:$F$53,"Not found")</f>
        <v>#NAME?</v>
      </c>
      <c r="Q119" s="2" t="e">
        <f ca="1">_xludf.XLOOKUP(D119,Products!$A$4:$A$23,Products!$B$4:$B$23,"Not found")</f>
        <v>#NAME?</v>
      </c>
      <c r="R119" s="2" t="e">
        <f ca="1">_xludf.XLOOKUP(D119,Products!$A$4:$A$23,Products!$C$4:$C$23,"Not found")</f>
        <v>#NAME?</v>
      </c>
      <c r="S119" s="2" t="e">
        <f ca="1">_xludf.XLOOKUP(E119,Sales_Reps!$A$4:$A$11,Sales_Reps!$B$4:$B$11,"Not found")</f>
        <v>#NAME?</v>
      </c>
      <c r="T119" s="2" t="e">
        <f ca="1">_xludf.XLOOKUP(E119,Sales_Reps!$A$4:$A$11,Sales_Reps!$C$4:$C$11,"Not found")</f>
        <v>#NAME?</v>
      </c>
      <c r="U119" s="2"/>
      <c r="V119" s="2"/>
      <c r="W119" s="2"/>
      <c r="X119" s="2"/>
      <c r="Y119" s="2"/>
      <c r="Z119" s="2"/>
    </row>
    <row r="120" spans="1:26">
      <c r="A120" s="2" t="s">
        <v>424</v>
      </c>
      <c r="B120" s="6">
        <v>46047</v>
      </c>
      <c r="C120" s="2" t="s">
        <v>171</v>
      </c>
      <c r="D120" s="2" t="s">
        <v>252</v>
      </c>
      <c r="E120" s="2" t="s">
        <v>298</v>
      </c>
      <c r="F120" s="2">
        <v>3</v>
      </c>
      <c r="G120" s="4">
        <v>900</v>
      </c>
      <c r="H120" s="5">
        <v>0.15</v>
      </c>
      <c r="I120" s="4">
        <v>2295</v>
      </c>
      <c r="J120" s="4">
        <v>1606.5</v>
      </c>
      <c r="K120" s="2" t="s">
        <v>306</v>
      </c>
      <c r="L120" s="2" t="e">
        <f ca="1">_xludf.XLOOKUP(C120,Customers!$A$4:$A$53,Customers!$B$4:$B$53,"Not found")</f>
        <v>#NAME?</v>
      </c>
      <c r="M120" s="2" t="e">
        <f ca="1">_xludf.XLOOKUP(C120,Customers!$A$4:$A$53,Customers!$C$4:$C$53,"Not found")</f>
        <v>#NAME?</v>
      </c>
      <c r="N120" s="2" t="e">
        <f ca="1">_xludf.XLOOKUP(C120,Customers!$A$4:$A$53,Customers!$D$4:$D$53,"Not found")</f>
        <v>#NAME?</v>
      </c>
      <c r="O120" s="2" t="e">
        <f ca="1">_xludf.XLOOKUP(C120,Customers!$A$4:$A$53,Customers!$E$4:$E$53,"Not found")</f>
        <v>#NAME?</v>
      </c>
      <c r="P120" s="2" t="e">
        <f ca="1">_xludf.XLOOKUP(C120,Customers!$A$4:$A$53,Customers!$F$4:$F$53,"Not found")</f>
        <v>#NAME?</v>
      </c>
      <c r="Q120" s="2" t="e">
        <f ca="1">_xludf.XLOOKUP(D120,Products!$A$4:$A$23,Products!$B$4:$B$23,"Not found")</f>
        <v>#NAME?</v>
      </c>
      <c r="R120" s="2" t="e">
        <f ca="1">_xludf.XLOOKUP(D120,Products!$A$4:$A$23,Products!$C$4:$C$23,"Not found")</f>
        <v>#NAME?</v>
      </c>
      <c r="S120" s="2" t="e">
        <f ca="1">_xludf.XLOOKUP(E120,Sales_Reps!$A$4:$A$11,Sales_Reps!$B$4:$B$11,"Not found")</f>
        <v>#NAME?</v>
      </c>
      <c r="T120" s="2" t="e">
        <f ca="1">_xludf.XLOOKUP(E120,Sales_Reps!$A$4:$A$11,Sales_Reps!$C$4:$C$11,"Not found")</f>
        <v>#NAME?</v>
      </c>
      <c r="U120" s="2"/>
      <c r="V120" s="2"/>
      <c r="W120" s="2"/>
      <c r="X120" s="2"/>
      <c r="Y120" s="2"/>
      <c r="Z120" s="2"/>
    </row>
    <row r="121" spans="1:26">
      <c r="A121" s="2" t="s">
        <v>425</v>
      </c>
      <c r="B121" s="6">
        <v>46098</v>
      </c>
      <c r="C121" s="2" t="s">
        <v>164</v>
      </c>
      <c r="D121" s="2" t="s">
        <v>267</v>
      </c>
      <c r="E121" s="2" t="s">
        <v>298</v>
      </c>
      <c r="F121" s="2">
        <v>3</v>
      </c>
      <c r="G121" s="4">
        <v>120</v>
      </c>
      <c r="H121" s="5">
        <v>0</v>
      </c>
      <c r="I121" s="4">
        <v>360</v>
      </c>
      <c r="J121" s="4">
        <v>136.80000000000001</v>
      </c>
      <c r="K121" s="2" t="s">
        <v>306</v>
      </c>
      <c r="L121" s="2" t="e">
        <f ca="1">_xludf.XLOOKUP(C121,Customers!$A$4:$A$53,Customers!$B$4:$B$53,"Not found")</f>
        <v>#NAME?</v>
      </c>
      <c r="M121" s="2" t="e">
        <f ca="1">_xludf.XLOOKUP(C121,Customers!$A$4:$A$53,Customers!$C$4:$C$53,"Not found")</f>
        <v>#NAME?</v>
      </c>
      <c r="N121" s="2" t="e">
        <f ca="1">_xludf.XLOOKUP(C121,Customers!$A$4:$A$53,Customers!$D$4:$D$53,"Not found")</f>
        <v>#NAME?</v>
      </c>
      <c r="O121" s="2" t="e">
        <f ca="1">_xludf.XLOOKUP(C121,Customers!$A$4:$A$53,Customers!$E$4:$E$53,"Not found")</f>
        <v>#NAME?</v>
      </c>
      <c r="P121" s="2" t="e">
        <f ca="1">_xludf.XLOOKUP(C121,Customers!$A$4:$A$53,Customers!$F$4:$F$53,"Not found")</f>
        <v>#NAME?</v>
      </c>
      <c r="Q121" s="2" t="e">
        <f ca="1">_xludf.XLOOKUP(D121,Products!$A$4:$A$23,Products!$B$4:$B$23,"Not found")</f>
        <v>#NAME?</v>
      </c>
      <c r="R121" s="2" t="e">
        <f ca="1">_xludf.XLOOKUP(D121,Products!$A$4:$A$23,Products!$C$4:$C$23,"Not found")</f>
        <v>#NAME?</v>
      </c>
      <c r="S121" s="2" t="e">
        <f ca="1">_xludf.XLOOKUP(E121,Sales_Reps!$A$4:$A$11,Sales_Reps!$B$4:$B$11,"Not found")</f>
        <v>#NAME?</v>
      </c>
      <c r="T121" s="2" t="e">
        <f ca="1">_xludf.XLOOKUP(E121,Sales_Reps!$A$4:$A$11,Sales_Reps!$C$4:$C$11,"Not found")</f>
        <v>#NAME?</v>
      </c>
      <c r="U121" s="2"/>
      <c r="V121" s="2"/>
      <c r="W121" s="2"/>
      <c r="X121" s="2"/>
      <c r="Y121" s="2"/>
      <c r="Z121" s="2"/>
    </row>
    <row r="122" spans="1:26">
      <c r="A122" s="2" t="s">
        <v>426</v>
      </c>
      <c r="B122" s="6">
        <v>46151</v>
      </c>
      <c r="C122" s="2" t="s">
        <v>225</v>
      </c>
      <c r="D122" s="2" t="s">
        <v>265</v>
      </c>
      <c r="E122" s="2" t="s">
        <v>290</v>
      </c>
      <c r="F122" s="2">
        <v>6</v>
      </c>
      <c r="G122" s="4">
        <v>650</v>
      </c>
      <c r="H122" s="5">
        <v>0.1</v>
      </c>
      <c r="I122" s="4">
        <v>3510</v>
      </c>
      <c r="J122" s="4">
        <v>1123.2</v>
      </c>
      <c r="K122" s="2" t="s">
        <v>306</v>
      </c>
      <c r="L122" s="2" t="e">
        <f ca="1">_xludf.XLOOKUP(C122,Customers!$A$4:$A$53,Customers!$B$4:$B$53,"Not found")</f>
        <v>#NAME?</v>
      </c>
      <c r="M122" s="2" t="e">
        <f ca="1">_xludf.XLOOKUP(C122,Customers!$A$4:$A$53,Customers!$C$4:$C$53,"Not found")</f>
        <v>#NAME?</v>
      </c>
      <c r="N122" s="2" t="e">
        <f ca="1">_xludf.XLOOKUP(C122,Customers!$A$4:$A$53,Customers!$D$4:$D$53,"Not found")</f>
        <v>#NAME?</v>
      </c>
      <c r="O122" s="2" t="e">
        <f ca="1">_xludf.XLOOKUP(C122,Customers!$A$4:$A$53,Customers!$E$4:$E$53,"Not found")</f>
        <v>#NAME?</v>
      </c>
      <c r="P122" s="2" t="e">
        <f ca="1">_xludf.XLOOKUP(C122,Customers!$A$4:$A$53,Customers!$F$4:$F$53,"Not found")</f>
        <v>#NAME?</v>
      </c>
      <c r="Q122" s="2" t="e">
        <f ca="1">_xludf.XLOOKUP(D122,Products!$A$4:$A$23,Products!$B$4:$B$23,"Not found")</f>
        <v>#NAME?</v>
      </c>
      <c r="R122" s="2" t="e">
        <f ca="1">_xludf.XLOOKUP(D122,Products!$A$4:$A$23,Products!$C$4:$C$23,"Not found")</f>
        <v>#NAME?</v>
      </c>
      <c r="S122" s="2" t="e">
        <f ca="1">_xludf.XLOOKUP(E122,Sales_Reps!$A$4:$A$11,Sales_Reps!$B$4:$B$11,"Not found")</f>
        <v>#NAME?</v>
      </c>
      <c r="T122" s="2" t="e">
        <f ca="1">_xludf.XLOOKUP(E122,Sales_Reps!$A$4:$A$11,Sales_Reps!$C$4:$C$11,"Not found")</f>
        <v>#NAME?</v>
      </c>
      <c r="U122" s="2"/>
      <c r="V122" s="2"/>
      <c r="W122" s="2"/>
      <c r="X122" s="2"/>
      <c r="Y122" s="2"/>
      <c r="Z122" s="2"/>
    </row>
    <row r="123" spans="1:26" ht="15">
      <c r="A123" s="2" t="s">
        <v>427</v>
      </c>
      <c r="B123" s="6">
        <v>46109</v>
      </c>
      <c r="C123" s="2" t="s">
        <v>143</v>
      </c>
      <c r="D123" s="2" t="s">
        <v>254</v>
      </c>
      <c r="E123" s="2" t="s">
        <v>298</v>
      </c>
      <c r="F123" s="2">
        <v>5</v>
      </c>
      <c r="G123" s="4">
        <v>3500</v>
      </c>
      <c r="H123" s="5">
        <v>0.15</v>
      </c>
      <c r="I123" s="4">
        <v>14875</v>
      </c>
      <c r="J123" s="4">
        <v>8181.25</v>
      </c>
      <c r="K123" s="2" t="s">
        <v>306</v>
      </c>
      <c r="L123" s="2" t="e">
        <f ca="1">_xludf.XLOOKUP(C123,Customers!$A$4:$A$53,Customers!$B$4:$B$53,"Not found")</f>
        <v>#NAME?</v>
      </c>
      <c r="M123" s="2" t="e">
        <f ca="1">_xludf.XLOOKUP(C123,Customers!$A$4:$A$53,Customers!$C$4:$C$53,"Not found")</f>
        <v>#NAME?</v>
      </c>
      <c r="N123" s="2" t="e">
        <f ca="1">_xludf.XLOOKUP(C123,Customers!$A$4:$A$53,Customers!$D$4:$D$53,"Not found")</f>
        <v>#NAME?</v>
      </c>
      <c r="O123" s="2" t="e">
        <f ca="1">_xludf.XLOOKUP(C123,Customers!$A$4:$A$53,Customers!$E$4:$E$53,"Not found")</f>
        <v>#NAME?</v>
      </c>
      <c r="P123" s="2" t="e">
        <f ca="1">_xludf.XLOOKUP(C123,Customers!$A$4:$A$53,Customers!$F$4:$F$53,"Not found")</f>
        <v>#NAME?</v>
      </c>
      <c r="Q123" s="2" t="e">
        <f ca="1">_xludf.XLOOKUP(D123,Products!$A$4:$A$23,Products!$B$4:$B$23,"Not found")</f>
        <v>#NAME?</v>
      </c>
      <c r="R123" s="2" t="e">
        <f ca="1">_xludf.XLOOKUP(D123,Products!$A$4:$A$23,Products!$C$4:$C$23,"Not found")</f>
        <v>#NAME?</v>
      </c>
      <c r="S123" s="2" t="e">
        <f ca="1">_xludf.XLOOKUP(E123,Sales_Reps!$A$4:$A$11,Sales_Reps!$B$4:$B$11,"Not found")</f>
        <v>#NAME?</v>
      </c>
      <c r="T123" s="2" t="e">
        <f ca="1">_xludf.XLOOKUP(E123,Sales_Reps!$A$4:$A$11,Sales_Reps!$C$4:$C$11,"Not found")</f>
        <v>#NAME?</v>
      </c>
      <c r="U123" s="2"/>
      <c r="V123" s="2"/>
      <c r="W123" s="2"/>
      <c r="X123" s="2"/>
      <c r="Y123" s="2"/>
      <c r="Z123" s="2"/>
    </row>
    <row r="124" spans="1:26">
      <c r="A124" s="2" t="s">
        <v>428</v>
      </c>
      <c r="B124" s="6">
        <v>46116</v>
      </c>
      <c r="C124" s="2" t="s">
        <v>186</v>
      </c>
      <c r="D124" s="2" t="s">
        <v>240</v>
      </c>
      <c r="E124" s="2" t="s">
        <v>287</v>
      </c>
      <c r="F124" s="2">
        <v>7</v>
      </c>
      <c r="G124" s="4">
        <v>300</v>
      </c>
      <c r="H124" s="5">
        <v>0.1</v>
      </c>
      <c r="I124" s="4">
        <v>1890</v>
      </c>
      <c r="J124" s="4">
        <v>567</v>
      </c>
      <c r="K124" s="2" t="s">
        <v>306</v>
      </c>
      <c r="L124" s="2" t="e">
        <f ca="1">_xludf.XLOOKUP(C124,Customers!$A$4:$A$53,Customers!$B$4:$B$53,"Not found")</f>
        <v>#NAME?</v>
      </c>
      <c r="M124" s="2" t="e">
        <f ca="1">_xludf.XLOOKUP(C124,Customers!$A$4:$A$53,Customers!$C$4:$C$53,"Not found")</f>
        <v>#NAME?</v>
      </c>
      <c r="N124" s="2" t="e">
        <f ca="1">_xludf.XLOOKUP(C124,Customers!$A$4:$A$53,Customers!$D$4:$D$53,"Not found")</f>
        <v>#NAME?</v>
      </c>
      <c r="O124" s="2" t="e">
        <f ca="1">_xludf.XLOOKUP(C124,Customers!$A$4:$A$53,Customers!$E$4:$E$53,"Not found")</f>
        <v>#NAME?</v>
      </c>
      <c r="P124" s="2" t="e">
        <f ca="1">_xludf.XLOOKUP(C124,Customers!$A$4:$A$53,Customers!$F$4:$F$53,"Not found")</f>
        <v>#NAME?</v>
      </c>
      <c r="Q124" s="2" t="e">
        <f ca="1">_xludf.XLOOKUP(D124,Products!$A$4:$A$23,Products!$B$4:$B$23,"Not found")</f>
        <v>#NAME?</v>
      </c>
      <c r="R124" s="2" t="e">
        <f ca="1">_xludf.XLOOKUP(D124,Products!$A$4:$A$23,Products!$C$4:$C$23,"Not found")</f>
        <v>#NAME?</v>
      </c>
      <c r="S124" s="2" t="e">
        <f ca="1">_xludf.XLOOKUP(E124,Sales_Reps!$A$4:$A$11,Sales_Reps!$B$4:$B$11,"Not found")</f>
        <v>#NAME?</v>
      </c>
      <c r="T124" s="2" t="e">
        <f ca="1">_xludf.XLOOKUP(E124,Sales_Reps!$A$4:$A$11,Sales_Reps!$C$4:$C$11,"Not found")</f>
        <v>#NAME?</v>
      </c>
      <c r="U124" s="2"/>
      <c r="V124" s="2"/>
      <c r="W124" s="2"/>
      <c r="X124" s="2"/>
      <c r="Y124" s="2"/>
      <c r="Z124" s="2"/>
    </row>
    <row r="125" spans="1:26" ht="15">
      <c r="A125" s="2" t="s">
        <v>429</v>
      </c>
      <c r="B125" s="6">
        <v>46090</v>
      </c>
      <c r="C125" s="2" t="s">
        <v>177</v>
      </c>
      <c r="D125" s="2" t="s">
        <v>70</v>
      </c>
      <c r="E125" s="2" t="s">
        <v>284</v>
      </c>
      <c r="F125" s="2">
        <v>8</v>
      </c>
      <c r="G125" s="4">
        <v>1200</v>
      </c>
      <c r="H125" s="5">
        <v>0</v>
      </c>
      <c r="I125" s="4">
        <v>9600</v>
      </c>
      <c r="J125" s="4">
        <v>2688</v>
      </c>
      <c r="K125" s="2" t="s">
        <v>313</v>
      </c>
      <c r="L125" s="2" t="e">
        <f ca="1">_xludf.XLOOKUP(C125,Customers!$A$4:$A$53,Customers!$B$4:$B$53,"Not found")</f>
        <v>#NAME?</v>
      </c>
      <c r="M125" s="2" t="e">
        <f ca="1">_xludf.XLOOKUP(C125,Customers!$A$4:$A$53,Customers!$C$4:$C$53,"Not found")</f>
        <v>#NAME?</v>
      </c>
      <c r="N125" s="2" t="e">
        <f ca="1">_xludf.XLOOKUP(C125,Customers!$A$4:$A$53,Customers!$D$4:$D$53,"Not found")</f>
        <v>#NAME?</v>
      </c>
      <c r="O125" s="2" t="e">
        <f ca="1">_xludf.XLOOKUP(C125,Customers!$A$4:$A$53,Customers!$E$4:$E$53,"Not found")</f>
        <v>#NAME?</v>
      </c>
      <c r="P125" s="2" t="e">
        <f ca="1">_xludf.XLOOKUP(C125,Customers!$A$4:$A$53,Customers!$F$4:$F$53,"Not found")</f>
        <v>#NAME?</v>
      </c>
      <c r="Q125" s="2" t="e">
        <f ca="1">_xludf.XLOOKUP(D125,Products!$A$4:$A$23,Products!$B$4:$B$23,"Not found")</f>
        <v>#NAME?</v>
      </c>
      <c r="R125" s="2" t="e">
        <f ca="1">_xludf.XLOOKUP(D125,Products!$A$4:$A$23,Products!$C$4:$C$23,"Not found")</f>
        <v>#NAME?</v>
      </c>
      <c r="S125" s="2" t="e">
        <f ca="1">_xludf.XLOOKUP(E125,Sales_Reps!$A$4:$A$11,Sales_Reps!$B$4:$B$11,"Not found")</f>
        <v>#NAME?</v>
      </c>
      <c r="T125" s="2" t="e">
        <f ca="1">_xludf.XLOOKUP(E125,Sales_Reps!$A$4:$A$11,Sales_Reps!$C$4:$C$11,"Not found")</f>
        <v>#NAME?</v>
      </c>
      <c r="U125" s="2"/>
      <c r="V125" s="2"/>
      <c r="W125" s="2"/>
      <c r="X125" s="2"/>
      <c r="Y125" s="2"/>
      <c r="Z125" s="2"/>
    </row>
    <row r="126" spans="1:26" ht="15">
      <c r="A126" s="2" t="s">
        <v>430</v>
      </c>
      <c r="B126" s="6">
        <v>46166</v>
      </c>
      <c r="C126" s="2" t="s">
        <v>175</v>
      </c>
      <c r="D126" s="2" t="s">
        <v>261</v>
      </c>
      <c r="E126" s="2" t="s">
        <v>287</v>
      </c>
      <c r="F126" s="2">
        <v>8</v>
      </c>
      <c r="G126" s="4">
        <v>2200</v>
      </c>
      <c r="H126" s="5">
        <v>0</v>
      </c>
      <c r="I126" s="4">
        <v>17600</v>
      </c>
      <c r="J126" s="4">
        <v>8800</v>
      </c>
      <c r="K126" s="2" t="s">
        <v>306</v>
      </c>
      <c r="L126" s="2" t="e">
        <f ca="1">_xludf.XLOOKUP(C126,Customers!$A$4:$A$53,Customers!$B$4:$B$53,"Not found")</f>
        <v>#NAME?</v>
      </c>
      <c r="M126" s="2" t="e">
        <f ca="1">_xludf.XLOOKUP(C126,Customers!$A$4:$A$53,Customers!$C$4:$C$53,"Not found")</f>
        <v>#NAME?</v>
      </c>
      <c r="N126" s="2" t="e">
        <f ca="1">_xludf.XLOOKUP(C126,Customers!$A$4:$A$53,Customers!$D$4:$D$53,"Not found")</f>
        <v>#NAME?</v>
      </c>
      <c r="O126" s="2" t="e">
        <f ca="1">_xludf.XLOOKUP(C126,Customers!$A$4:$A$53,Customers!$E$4:$E$53,"Not found")</f>
        <v>#NAME?</v>
      </c>
      <c r="P126" s="2" t="e">
        <f ca="1">_xludf.XLOOKUP(C126,Customers!$A$4:$A$53,Customers!$F$4:$F$53,"Not found")</f>
        <v>#NAME?</v>
      </c>
      <c r="Q126" s="2" t="e">
        <f ca="1">_xludf.XLOOKUP(D126,Products!$A$4:$A$23,Products!$B$4:$B$23,"Not found")</f>
        <v>#NAME?</v>
      </c>
      <c r="R126" s="2" t="e">
        <f ca="1">_xludf.XLOOKUP(D126,Products!$A$4:$A$23,Products!$C$4:$C$23,"Not found")</f>
        <v>#NAME?</v>
      </c>
      <c r="S126" s="2" t="e">
        <f ca="1">_xludf.XLOOKUP(E126,Sales_Reps!$A$4:$A$11,Sales_Reps!$B$4:$B$11,"Not found")</f>
        <v>#NAME?</v>
      </c>
      <c r="T126" s="2" t="e">
        <f ca="1">_xludf.XLOOKUP(E126,Sales_Reps!$A$4:$A$11,Sales_Reps!$C$4:$C$11,"Not found")</f>
        <v>#NAME?</v>
      </c>
      <c r="U126" s="2"/>
      <c r="V126" s="2"/>
      <c r="W126" s="2"/>
      <c r="X126" s="2"/>
      <c r="Y126" s="2"/>
      <c r="Z126" s="2"/>
    </row>
    <row r="127" spans="1:26">
      <c r="A127" s="2" t="s">
        <v>431</v>
      </c>
      <c r="B127" s="6">
        <v>46127</v>
      </c>
      <c r="C127" s="2" t="s">
        <v>208</v>
      </c>
      <c r="D127" s="2" t="s">
        <v>252</v>
      </c>
      <c r="E127" s="2" t="s">
        <v>292</v>
      </c>
      <c r="F127" s="2">
        <v>5</v>
      </c>
      <c r="G127" s="4">
        <v>900</v>
      </c>
      <c r="H127" s="5">
        <v>0.15</v>
      </c>
      <c r="I127" s="4">
        <v>3825</v>
      </c>
      <c r="J127" s="4">
        <v>2677.5</v>
      </c>
      <c r="K127" s="2" t="s">
        <v>306</v>
      </c>
      <c r="L127" s="2" t="e">
        <f ca="1">_xludf.XLOOKUP(C127,Customers!$A$4:$A$53,Customers!$B$4:$B$53,"Not found")</f>
        <v>#NAME?</v>
      </c>
      <c r="M127" s="2" t="e">
        <f ca="1">_xludf.XLOOKUP(C127,Customers!$A$4:$A$53,Customers!$C$4:$C$53,"Not found")</f>
        <v>#NAME?</v>
      </c>
      <c r="N127" s="2" t="e">
        <f ca="1">_xludf.XLOOKUP(C127,Customers!$A$4:$A$53,Customers!$D$4:$D$53,"Not found")</f>
        <v>#NAME?</v>
      </c>
      <c r="O127" s="2" t="e">
        <f ca="1">_xludf.XLOOKUP(C127,Customers!$A$4:$A$53,Customers!$E$4:$E$53,"Not found")</f>
        <v>#NAME?</v>
      </c>
      <c r="P127" s="2" t="e">
        <f ca="1">_xludf.XLOOKUP(C127,Customers!$A$4:$A$53,Customers!$F$4:$F$53,"Not found")</f>
        <v>#NAME?</v>
      </c>
      <c r="Q127" s="2" t="e">
        <f ca="1">_xludf.XLOOKUP(D127,Products!$A$4:$A$23,Products!$B$4:$B$23,"Not found")</f>
        <v>#NAME?</v>
      </c>
      <c r="R127" s="2" t="e">
        <f ca="1">_xludf.XLOOKUP(D127,Products!$A$4:$A$23,Products!$C$4:$C$23,"Not found")</f>
        <v>#NAME?</v>
      </c>
      <c r="S127" s="2" t="e">
        <f ca="1">_xludf.XLOOKUP(E127,Sales_Reps!$A$4:$A$11,Sales_Reps!$B$4:$B$11,"Not found")</f>
        <v>#NAME?</v>
      </c>
      <c r="T127" s="2" t="e">
        <f ca="1">_xludf.XLOOKUP(E127,Sales_Reps!$A$4:$A$11,Sales_Reps!$C$4:$C$11,"Not found")</f>
        <v>#NAME?</v>
      </c>
      <c r="U127" s="2"/>
      <c r="V127" s="2"/>
      <c r="W127" s="2"/>
      <c r="X127" s="2"/>
      <c r="Y127" s="2"/>
      <c r="Z127" s="2"/>
    </row>
    <row r="128" spans="1:26" ht="15">
      <c r="A128" s="2" t="s">
        <v>432</v>
      </c>
      <c r="B128" s="6">
        <v>46047</v>
      </c>
      <c r="C128" s="2" t="s">
        <v>136</v>
      </c>
      <c r="D128" s="2" t="s">
        <v>238</v>
      </c>
      <c r="E128" s="2" t="s">
        <v>292</v>
      </c>
      <c r="F128" s="2">
        <v>8</v>
      </c>
      <c r="G128" s="4">
        <v>1800</v>
      </c>
      <c r="H128" s="5">
        <v>0</v>
      </c>
      <c r="I128" s="4">
        <v>14400</v>
      </c>
      <c r="J128" s="4">
        <v>3600</v>
      </c>
      <c r="K128" s="2" t="s">
        <v>306</v>
      </c>
      <c r="L128" s="2" t="e">
        <f ca="1">_xludf.XLOOKUP(C128,Customers!$A$4:$A$53,Customers!$B$4:$B$53,"Not found")</f>
        <v>#NAME?</v>
      </c>
      <c r="M128" s="2" t="e">
        <f ca="1">_xludf.XLOOKUP(C128,Customers!$A$4:$A$53,Customers!$C$4:$C$53,"Not found")</f>
        <v>#NAME?</v>
      </c>
      <c r="N128" s="2" t="e">
        <f ca="1">_xludf.XLOOKUP(C128,Customers!$A$4:$A$53,Customers!$D$4:$D$53,"Not found")</f>
        <v>#NAME?</v>
      </c>
      <c r="O128" s="2" t="e">
        <f ca="1">_xludf.XLOOKUP(C128,Customers!$A$4:$A$53,Customers!$E$4:$E$53,"Not found")</f>
        <v>#NAME?</v>
      </c>
      <c r="P128" s="2" t="e">
        <f ca="1">_xludf.XLOOKUP(C128,Customers!$A$4:$A$53,Customers!$F$4:$F$53,"Not found")</f>
        <v>#NAME?</v>
      </c>
      <c r="Q128" s="2" t="e">
        <f ca="1">_xludf.XLOOKUP(D128,Products!$A$4:$A$23,Products!$B$4:$B$23,"Not found")</f>
        <v>#NAME?</v>
      </c>
      <c r="R128" s="2" t="e">
        <f ca="1">_xludf.XLOOKUP(D128,Products!$A$4:$A$23,Products!$C$4:$C$23,"Not found")</f>
        <v>#NAME?</v>
      </c>
      <c r="S128" s="2" t="e">
        <f ca="1">_xludf.XLOOKUP(E128,Sales_Reps!$A$4:$A$11,Sales_Reps!$B$4:$B$11,"Not found")</f>
        <v>#NAME?</v>
      </c>
      <c r="T128" s="2" t="e">
        <f ca="1">_xludf.XLOOKUP(E128,Sales_Reps!$A$4:$A$11,Sales_Reps!$C$4:$C$11,"Not found")</f>
        <v>#NAME?</v>
      </c>
      <c r="U128" s="2"/>
      <c r="V128" s="2"/>
      <c r="W128" s="2"/>
      <c r="X128" s="2"/>
      <c r="Y128" s="2"/>
      <c r="Z128" s="2"/>
    </row>
    <row r="129" spans="1:26">
      <c r="A129" s="2" t="s">
        <v>433</v>
      </c>
      <c r="B129" s="6">
        <v>46062</v>
      </c>
      <c r="C129" s="2" t="s">
        <v>197</v>
      </c>
      <c r="D129" s="2" t="s">
        <v>245</v>
      </c>
      <c r="E129" s="2" t="s">
        <v>294</v>
      </c>
      <c r="F129" s="2">
        <v>7</v>
      </c>
      <c r="G129" s="4">
        <v>35</v>
      </c>
      <c r="H129" s="5">
        <v>0.1</v>
      </c>
      <c r="I129" s="4">
        <v>220.5</v>
      </c>
      <c r="J129" s="4">
        <v>92.61</v>
      </c>
      <c r="K129" s="2" t="s">
        <v>309</v>
      </c>
      <c r="L129" s="2" t="e">
        <f ca="1">_xludf.XLOOKUP(C129,Customers!$A$4:$A$53,Customers!$B$4:$B$53,"Not found")</f>
        <v>#NAME?</v>
      </c>
      <c r="M129" s="2" t="e">
        <f ca="1">_xludf.XLOOKUP(C129,Customers!$A$4:$A$53,Customers!$C$4:$C$53,"Not found")</f>
        <v>#NAME?</v>
      </c>
      <c r="N129" s="2" t="e">
        <f ca="1">_xludf.XLOOKUP(C129,Customers!$A$4:$A$53,Customers!$D$4:$D$53,"Not found")</f>
        <v>#NAME?</v>
      </c>
      <c r="O129" s="2" t="e">
        <f ca="1">_xludf.XLOOKUP(C129,Customers!$A$4:$A$53,Customers!$E$4:$E$53,"Not found")</f>
        <v>#NAME?</v>
      </c>
      <c r="P129" s="2" t="e">
        <f ca="1">_xludf.XLOOKUP(C129,Customers!$A$4:$A$53,Customers!$F$4:$F$53,"Not found")</f>
        <v>#NAME?</v>
      </c>
      <c r="Q129" s="2" t="e">
        <f ca="1">_xludf.XLOOKUP(D129,Products!$A$4:$A$23,Products!$B$4:$B$23,"Not found")</f>
        <v>#NAME?</v>
      </c>
      <c r="R129" s="2" t="e">
        <f ca="1">_xludf.XLOOKUP(D129,Products!$A$4:$A$23,Products!$C$4:$C$23,"Not found")</f>
        <v>#NAME?</v>
      </c>
      <c r="S129" s="2" t="e">
        <f ca="1">_xludf.XLOOKUP(E129,Sales_Reps!$A$4:$A$11,Sales_Reps!$B$4:$B$11,"Not found")</f>
        <v>#NAME?</v>
      </c>
      <c r="T129" s="2" t="e">
        <f ca="1">_xludf.XLOOKUP(E129,Sales_Reps!$A$4:$A$11,Sales_Reps!$C$4:$C$11,"Not found")</f>
        <v>#NAME?</v>
      </c>
      <c r="U129" s="2"/>
      <c r="V129" s="2"/>
      <c r="W129" s="2"/>
      <c r="X129" s="2"/>
      <c r="Y129" s="2"/>
      <c r="Z129" s="2"/>
    </row>
    <row r="130" spans="1:26">
      <c r="A130" s="2" t="s">
        <v>434</v>
      </c>
      <c r="B130" s="6">
        <v>46117</v>
      </c>
      <c r="C130" s="2" t="s">
        <v>212</v>
      </c>
      <c r="D130" s="2" t="s">
        <v>242</v>
      </c>
      <c r="E130" s="2" t="s">
        <v>296</v>
      </c>
      <c r="F130" s="2">
        <v>5</v>
      </c>
      <c r="G130" s="4">
        <v>70</v>
      </c>
      <c r="H130" s="5">
        <v>0</v>
      </c>
      <c r="I130" s="4">
        <v>350</v>
      </c>
      <c r="J130" s="4">
        <v>140</v>
      </c>
      <c r="K130" s="2" t="s">
        <v>306</v>
      </c>
      <c r="L130" s="2" t="e">
        <f ca="1">_xludf.XLOOKUP(C130,Customers!$A$4:$A$53,Customers!$B$4:$B$53,"Not found")</f>
        <v>#NAME?</v>
      </c>
      <c r="M130" s="2" t="e">
        <f ca="1">_xludf.XLOOKUP(C130,Customers!$A$4:$A$53,Customers!$C$4:$C$53,"Not found")</f>
        <v>#NAME?</v>
      </c>
      <c r="N130" s="2" t="e">
        <f ca="1">_xludf.XLOOKUP(C130,Customers!$A$4:$A$53,Customers!$D$4:$D$53,"Not found")</f>
        <v>#NAME?</v>
      </c>
      <c r="O130" s="2" t="e">
        <f ca="1">_xludf.XLOOKUP(C130,Customers!$A$4:$A$53,Customers!$E$4:$E$53,"Not found")</f>
        <v>#NAME?</v>
      </c>
      <c r="P130" s="2" t="e">
        <f ca="1">_xludf.XLOOKUP(C130,Customers!$A$4:$A$53,Customers!$F$4:$F$53,"Not found")</f>
        <v>#NAME?</v>
      </c>
      <c r="Q130" s="2" t="e">
        <f ca="1">_xludf.XLOOKUP(D130,Products!$A$4:$A$23,Products!$B$4:$B$23,"Not found")</f>
        <v>#NAME?</v>
      </c>
      <c r="R130" s="2" t="e">
        <f ca="1">_xludf.XLOOKUP(D130,Products!$A$4:$A$23,Products!$C$4:$C$23,"Not found")</f>
        <v>#NAME?</v>
      </c>
      <c r="S130" s="2" t="e">
        <f ca="1">_xludf.XLOOKUP(E130,Sales_Reps!$A$4:$A$11,Sales_Reps!$B$4:$B$11,"Not found")</f>
        <v>#NAME?</v>
      </c>
      <c r="T130" s="2" t="e">
        <f ca="1">_xludf.XLOOKUP(E130,Sales_Reps!$A$4:$A$11,Sales_Reps!$C$4:$C$11,"Not found")</f>
        <v>#NAME?</v>
      </c>
      <c r="U130" s="2"/>
      <c r="V130" s="2"/>
      <c r="W130" s="2"/>
      <c r="X130" s="2"/>
      <c r="Y130" s="2"/>
      <c r="Z130" s="2"/>
    </row>
    <row r="131" spans="1:26">
      <c r="A131" s="2" t="s">
        <v>435</v>
      </c>
      <c r="B131" s="6">
        <v>46117</v>
      </c>
      <c r="C131" s="2" t="s">
        <v>184</v>
      </c>
      <c r="D131" s="2" t="s">
        <v>267</v>
      </c>
      <c r="E131" s="2" t="s">
        <v>294</v>
      </c>
      <c r="F131" s="2">
        <v>2</v>
      </c>
      <c r="G131" s="4">
        <v>120</v>
      </c>
      <c r="H131" s="5">
        <v>0.15</v>
      </c>
      <c r="I131" s="4">
        <v>204</v>
      </c>
      <c r="J131" s="4">
        <v>77.52</v>
      </c>
      <c r="K131" s="2" t="s">
        <v>313</v>
      </c>
      <c r="L131" s="2" t="e">
        <f ca="1">_xludf.XLOOKUP(C131,Customers!$A$4:$A$53,Customers!$B$4:$B$53,"Not found")</f>
        <v>#NAME?</v>
      </c>
      <c r="M131" s="2" t="e">
        <f ca="1">_xludf.XLOOKUP(C131,Customers!$A$4:$A$53,Customers!$C$4:$C$53,"Not found")</f>
        <v>#NAME?</v>
      </c>
      <c r="N131" s="2" t="e">
        <f ca="1">_xludf.XLOOKUP(C131,Customers!$A$4:$A$53,Customers!$D$4:$D$53,"Not found")</f>
        <v>#NAME?</v>
      </c>
      <c r="O131" s="2" t="e">
        <f ca="1">_xludf.XLOOKUP(C131,Customers!$A$4:$A$53,Customers!$E$4:$E$53,"Not found")</f>
        <v>#NAME?</v>
      </c>
      <c r="P131" s="2" t="e">
        <f ca="1">_xludf.XLOOKUP(C131,Customers!$A$4:$A$53,Customers!$F$4:$F$53,"Not found")</f>
        <v>#NAME?</v>
      </c>
      <c r="Q131" s="2" t="e">
        <f ca="1">_xludf.XLOOKUP(D131,Products!$A$4:$A$23,Products!$B$4:$B$23,"Not found")</f>
        <v>#NAME?</v>
      </c>
      <c r="R131" s="2" t="e">
        <f ca="1">_xludf.XLOOKUP(D131,Products!$A$4:$A$23,Products!$C$4:$C$23,"Not found")</f>
        <v>#NAME?</v>
      </c>
      <c r="S131" s="2" t="e">
        <f ca="1">_xludf.XLOOKUP(E131,Sales_Reps!$A$4:$A$11,Sales_Reps!$B$4:$B$11,"Not found")</f>
        <v>#NAME?</v>
      </c>
      <c r="T131" s="2" t="e">
        <f ca="1">_xludf.XLOOKUP(E131,Sales_Reps!$A$4:$A$11,Sales_Reps!$C$4:$C$11,"Not found")</f>
        <v>#NAME?</v>
      </c>
      <c r="U131" s="2"/>
      <c r="V131" s="2"/>
      <c r="W131" s="2"/>
      <c r="X131" s="2"/>
      <c r="Y131" s="2"/>
      <c r="Z131" s="2"/>
    </row>
    <row r="132" spans="1:26" ht="15">
      <c r="A132" s="2" t="s">
        <v>436</v>
      </c>
      <c r="B132" s="6">
        <v>46139</v>
      </c>
      <c r="C132" s="2" t="s">
        <v>212</v>
      </c>
      <c r="D132" s="2" t="s">
        <v>261</v>
      </c>
      <c r="E132" s="2" t="s">
        <v>298</v>
      </c>
      <c r="F132" s="2">
        <v>4</v>
      </c>
      <c r="G132" s="4">
        <v>2200</v>
      </c>
      <c r="H132" s="5">
        <v>0</v>
      </c>
      <c r="I132" s="4">
        <v>8800</v>
      </c>
      <c r="J132" s="4">
        <v>4400</v>
      </c>
      <c r="K132" s="2" t="s">
        <v>306</v>
      </c>
      <c r="L132" s="2" t="e">
        <f ca="1">_xludf.XLOOKUP(C132,Customers!$A$4:$A$53,Customers!$B$4:$B$53,"Not found")</f>
        <v>#NAME?</v>
      </c>
      <c r="M132" s="2" t="e">
        <f ca="1">_xludf.XLOOKUP(C132,Customers!$A$4:$A$53,Customers!$C$4:$C$53,"Not found")</f>
        <v>#NAME?</v>
      </c>
      <c r="N132" s="2" t="e">
        <f ca="1">_xludf.XLOOKUP(C132,Customers!$A$4:$A$53,Customers!$D$4:$D$53,"Not found")</f>
        <v>#NAME?</v>
      </c>
      <c r="O132" s="2" t="e">
        <f ca="1">_xludf.XLOOKUP(C132,Customers!$A$4:$A$53,Customers!$E$4:$E$53,"Not found")</f>
        <v>#NAME?</v>
      </c>
      <c r="P132" s="2" t="e">
        <f ca="1">_xludf.XLOOKUP(C132,Customers!$A$4:$A$53,Customers!$F$4:$F$53,"Not found")</f>
        <v>#NAME?</v>
      </c>
      <c r="Q132" s="2" t="e">
        <f ca="1">_xludf.XLOOKUP(D132,Products!$A$4:$A$23,Products!$B$4:$B$23,"Not found")</f>
        <v>#NAME?</v>
      </c>
      <c r="R132" s="2" t="e">
        <f ca="1">_xludf.XLOOKUP(D132,Products!$A$4:$A$23,Products!$C$4:$C$23,"Not found")</f>
        <v>#NAME?</v>
      </c>
      <c r="S132" s="2" t="e">
        <f ca="1">_xludf.XLOOKUP(E132,Sales_Reps!$A$4:$A$11,Sales_Reps!$B$4:$B$11,"Not found")</f>
        <v>#NAME?</v>
      </c>
      <c r="T132" s="2" t="e">
        <f ca="1">_xludf.XLOOKUP(E132,Sales_Reps!$A$4:$A$11,Sales_Reps!$C$4:$C$11,"Not found")</f>
        <v>#NAME?</v>
      </c>
      <c r="U132" s="2"/>
      <c r="V132" s="2"/>
      <c r="W132" s="2"/>
      <c r="X132" s="2"/>
      <c r="Y132" s="2"/>
      <c r="Z132" s="2"/>
    </row>
    <row r="133" spans="1:26">
      <c r="A133" s="2" t="s">
        <v>437</v>
      </c>
      <c r="B133" s="6">
        <v>46085</v>
      </c>
      <c r="C133" s="2" t="s">
        <v>215</v>
      </c>
      <c r="D133" s="2" t="s">
        <v>249</v>
      </c>
      <c r="E133" s="2" t="s">
        <v>287</v>
      </c>
      <c r="F133" s="2">
        <v>1</v>
      </c>
      <c r="G133" s="4">
        <v>600</v>
      </c>
      <c r="H133" s="5">
        <v>0</v>
      </c>
      <c r="I133" s="4">
        <v>600</v>
      </c>
      <c r="J133" s="4">
        <v>390</v>
      </c>
      <c r="K133" s="2" t="s">
        <v>306</v>
      </c>
      <c r="L133" s="2" t="e">
        <f ca="1">_xludf.XLOOKUP(C133,Customers!$A$4:$A$53,Customers!$B$4:$B$53,"Not found")</f>
        <v>#NAME?</v>
      </c>
      <c r="M133" s="2" t="e">
        <f ca="1">_xludf.XLOOKUP(C133,Customers!$A$4:$A$53,Customers!$C$4:$C$53,"Not found")</f>
        <v>#NAME?</v>
      </c>
      <c r="N133" s="2" t="e">
        <f ca="1">_xludf.XLOOKUP(C133,Customers!$A$4:$A$53,Customers!$D$4:$D$53,"Not found")</f>
        <v>#NAME?</v>
      </c>
      <c r="O133" s="2" t="e">
        <f ca="1">_xludf.XLOOKUP(C133,Customers!$A$4:$A$53,Customers!$E$4:$E$53,"Not found")</f>
        <v>#NAME?</v>
      </c>
      <c r="P133" s="2" t="e">
        <f ca="1">_xludf.XLOOKUP(C133,Customers!$A$4:$A$53,Customers!$F$4:$F$53,"Not found")</f>
        <v>#NAME?</v>
      </c>
      <c r="Q133" s="2" t="e">
        <f ca="1">_xludf.XLOOKUP(D133,Products!$A$4:$A$23,Products!$B$4:$B$23,"Not found")</f>
        <v>#NAME?</v>
      </c>
      <c r="R133" s="2" t="e">
        <f ca="1">_xludf.XLOOKUP(D133,Products!$A$4:$A$23,Products!$C$4:$C$23,"Not found")</f>
        <v>#NAME?</v>
      </c>
      <c r="S133" s="2" t="e">
        <f ca="1">_xludf.XLOOKUP(E133,Sales_Reps!$A$4:$A$11,Sales_Reps!$B$4:$B$11,"Not found")</f>
        <v>#NAME?</v>
      </c>
      <c r="T133" s="2" t="e">
        <f ca="1">_xludf.XLOOKUP(E133,Sales_Reps!$A$4:$A$11,Sales_Reps!$C$4:$C$11,"Not found")</f>
        <v>#NAME?</v>
      </c>
      <c r="U133" s="2"/>
      <c r="V133" s="2"/>
      <c r="W133" s="2"/>
      <c r="X133" s="2"/>
      <c r="Y133" s="2"/>
      <c r="Z133" s="2"/>
    </row>
    <row r="134" spans="1:26">
      <c r="A134" s="2" t="s">
        <v>438</v>
      </c>
      <c r="B134" s="6">
        <v>46107</v>
      </c>
      <c r="C134" s="2" t="s">
        <v>202</v>
      </c>
      <c r="D134" s="2" t="s">
        <v>249</v>
      </c>
      <c r="E134" s="2" t="s">
        <v>284</v>
      </c>
      <c r="F134" s="2">
        <v>4</v>
      </c>
      <c r="G134" s="4">
        <v>600</v>
      </c>
      <c r="H134" s="5">
        <v>0</v>
      </c>
      <c r="I134" s="4">
        <v>2400</v>
      </c>
      <c r="J134" s="4">
        <v>1560</v>
      </c>
      <c r="K134" s="2" t="s">
        <v>306</v>
      </c>
      <c r="L134" s="2" t="e">
        <f ca="1">_xludf.XLOOKUP(C134,Customers!$A$4:$A$53,Customers!$B$4:$B$53,"Not found")</f>
        <v>#NAME?</v>
      </c>
      <c r="M134" s="2" t="e">
        <f ca="1">_xludf.XLOOKUP(C134,Customers!$A$4:$A$53,Customers!$C$4:$C$53,"Not found")</f>
        <v>#NAME?</v>
      </c>
      <c r="N134" s="2" t="e">
        <f ca="1">_xludf.XLOOKUP(C134,Customers!$A$4:$A$53,Customers!$D$4:$D$53,"Not found")</f>
        <v>#NAME?</v>
      </c>
      <c r="O134" s="2" t="e">
        <f ca="1">_xludf.XLOOKUP(C134,Customers!$A$4:$A$53,Customers!$E$4:$E$53,"Not found")</f>
        <v>#NAME?</v>
      </c>
      <c r="P134" s="2" t="e">
        <f ca="1">_xludf.XLOOKUP(C134,Customers!$A$4:$A$53,Customers!$F$4:$F$53,"Not found")</f>
        <v>#NAME?</v>
      </c>
      <c r="Q134" s="2" t="e">
        <f ca="1">_xludf.XLOOKUP(D134,Products!$A$4:$A$23,Products!$B$4:$B$23,"Not found")</f>
        <v>#NAME?</v>
      </c>
      <c r="R134" s="2" t="e">
        <f ca="1">_xludf.XLOOKUP(D134,Products!$A$4:$A$23,Products!$C$4:$C$23,"Not found")</f>
        <v>#NAME?</v>
      </c>
      <c r="S134" s="2" t="e">
        <f ca="1">_xludf.XLOOKUP(E134,Sales_Reps!$A$4:$A$11,Sales_Reps!$B$4:$B$11,"Not found")</f>
        <v>#NAME?</v>
      </c>
      <c r="T134" s="2" t="e">
        <f ca="1">_xludf.XLOOKUP(E134,Sales_Reps!$A$4:$A$11,Sales_Reps!$C$4:$C$11,"Not found")</f>
        <v>#NAME?</v>
      </c>
      <c r="U134" s="2"/>
      <c r="V134" s="2"/>
      <c r="W134" s="2"/>
      <c r="X134" s="2"/>
      <c r="Y134" s="2"/>
      <c r="Z134" s="2"/>
    </row>
    <row r="135" spans="1:26">
      <c r="A135" s="2" t="s">
        <v>439</v>
      </c>
      <c r="B135" s="6">
        <v>46087</v>
      </c>
      <c r="C135" s="2" t="s">
        <v>206</v>
      </c>
      <c r="D135" s="2" t="s">
        <v>70</v>
      </c>
      <c r="E135" s="2" t="s">
        <v>287</v>
      </c>
      <c r="F135" s="2">
        <v>3</v>
      </c>
      <c r="G135" s="4">
        <v>1200</v>
      </c>
      <c r="H135" s="5">
        <v>0.1</v>
      </c>
      <c r="I135" s="4">
        <v>3240</v>
      </c>
      <c r="J135" s="4">
        <v>907.2</v>
      </c>
      <c r="K135" s="2" t="s">
        <v>306</v>
      </c>
      <c r="L135" s="2" t="e">
        <f ca="1">_xludf.XLOOKUP(C135,Customers!$A$4:$A$53,Customers!$B$4:$B$53,"Not found")</f>
        <v>#NAME?</v>
      </c>
      <c r="M135" s="2" t="e">
        <f ca="1">_xludf.XLOOKUP(C135,Customers!$A$4:$A$53,Customers!$C$4:$C$53,"Not found")</f>
        <v>#NAME?</v>
      </c>
      <c r="N135" s="2" t="e">
        <f ca="1">_xludf.XLOOKUP(C135,Customers!$A$4:$A$53,Customers!$D$4:$D$53,"Not found")</f>
        <v>#NAME?</v>
      </c>
      <c r="O135" s="2" t="e">
        <f ca="1">_xludf.XLOOKUP(C135,Customers!$A$4:$A$53,Customers!$E$4:$E$53,"Not found")</f>
        <v>#NAME?</v>
      </c>
      <c r="P135" s="2" t="e">
        <f ca="1">_xludf.XLOOKUP(C135,Customers!$A$4:$A$53,Customers!$F$4:$F$53,"Not found")</f>
        <v>#NAME?</v>
      </c>
      <c r="Q135" s="2" t="e">
        <f ca="1">_xludf.XLOOKUP(D135,Products!$A$4:$A$23,Products!$B$4:$B$23,"Not found")</f>
        <v>#NAME?</v>
      </c>
      <c r="R135" s="2" t="e">
        <f ca="1">_xludf.XLOOKUP(D135,Products!$A$4:$A$23,Products!$C$4:$C$23,"Not found")</f>
        <v>#NAME?</v>
      </c>
      <c r="S135" s="2" t="e">
        <f ca="1">_xludf.XLOOKUP(E135,Sales_Reps!$A$4:$A$11,Sales_Reps!$B$4:$B$11,"Not found")</f>
        <v>#NAME?</v>
      </c>
      <c r="T135" s="2" t="e">
        <f ca="1">_xludf.XLOOKUP(E135,Sales_Reps!$A$4:$A$11,Sales_Reps!$C$4:$C$11,"Not found")</f>
        <v>#NAME?</v>
      </c>
      <c r="U135" s="2"/>
      <c r="V135" s="2"/>
      <c r="W135" s="2"/>
      <c r="X135" s="2"/>
      <c r="Y135" s="2"/>
      <c r="Z135" s="2"/>
    </row>
    <row r="136" spans="1:26">
      <c r="A136" s="2" t="s">
        <v>440</v>
      </c>
      <c r="B136" s="6">
        <v>46105</v>
      </c>
      <c r="C136" s="2" t="s">
        <v>131</v>
      </c>
      <c r="D136" s="2" t="s">
        <v>70</v>
      </c>
      <c r="E136" s="2" t="s">
        <v>296</v>
      </c>
      <c r="F136" s="2">
        <v>4</v>
      </c>
      <c r="G136" s="4">
        <v>1200</v>
      </c>
      <c r="H136" s="5">
        <v>0.1</v>
      </c>
      <c r="I136" s="4">
        <v>4320</v>
      </c>
      <c r="J136" s="4">
        <v>1209.5999999999999</v>
      </c>
      <c r="K136" s="2" t="s">
        <v>306</v>
      </c>
      <c r="L136" s="2" t="e">
        <f ca="1">_xludf.XLOOKUP(C136,Customers!$A$4:$A$53,Customers!$B$4:$B$53,"Not found")</f>
        <v>#NAME?</v>
      </c>
      <c r="M136" s="2" t="e">
        <f ca="1">_xludf.XLOOKUP(C136,Customers!$A$4:$A$53,Customers!$C$4:$C$53,"Not found")</f>
        <v>#NAME?</v>
      </c>
      <c r="N136" s="2" t="e">
        <f ca="1">_xludf.XLOOKUP(C136,Customers!$A$4:$A$53,Customers!$D$4:$D$53,"Not found")</f>
        <v>#NAME?</v>
      </c>
      <c r="O136" s="2" t="e">
        <f ca="1">_xludf.XLOOKUP(C136,Customers!$A$4:$A$53,Customers!$E$4:$E$53,"Not found")</f>
        <v>#NAME?</v>
      </c>
      <c r="P136" s="2" t="e">
        <f ca="1">_xludf.XLOOKUP(C136,Customers!$A$4:$A$53,Customers!$F$4:$F$53,"Not found")</f>
        <v>#NAME?</v>
      </c>
      <c r="Q136" s="2" t="e">
        <f ca="1">_xludf.XLOOKUP(D136,Products!$A$4:$A$23,Products!$B$4:$B$23,"Not found")</f>
        <v>#NAME?</v>
      </c>
      <c r="R136" s="2" t="e">
        <f ca="1">_xludf.XLOOKUP(D136,Products!$A$4:$A$23,Products!$C$4:$C$23,"Not found")</f>
        <v>#NAME?</v>
      </c>
      <c r="S136" s="2" t="e">
        <f ca="1">_xludf.XLOOKUP(E136,Sales_Reps!$A$4:$A$11,Sales_Reps!$B$4:$B$11,"Not found")</f>
        <v>#NAME?</v>
      </c>
      <c r="T136" s="2" t="e">
        <f ca="1">_xludf.XLOOKUP(E136,Sales_Reps!$A$4:$A$11,Sales_Reps!$C$4:$C$11,"Not found")</f>
        <v>#NAME?</v>
      </c>
      <c r="U136" s="2"/>
      <c r="V136" s="2"/>
      <c r="W136" s="2"/>
      <c r="X136" s="2"/>
      <c r="Y136" s="2"/>
      <c r="Z136" s="2"/>
    </row>
    <row r="137" spans="1:26" ht="15">
      <c r="A137" s="2" t="s">
        <v>441</v>
      </c>
      <c r="B137" s="6">
        <v>46039</v>
      </c>
      <c r="C137" s="2" t="s">
        <v>146</v>
      </c>
      <c r="D137" s="2" t="s">
        <v>254</v>
      </c>
      <c r="E137" s="2" t="s">
        <v>296</v>
      </c>
      <c r="F137" s="2">
        <v>2</v>
      </c>
      <c r="G137" s="4">
        <v>3500</v>
      </c>
      <c r="H137" s="5">
        <v>0.15</v>
      </c>
      <c r="I137" s="4">
        <v>5950</v>
      </c>
      <c r="J137" s="4">
        <v>3272.5</v>
      </c>
      <c r="K137" s="2" t="s">
        <v>309</v>
      </c>
      <c r="L137" s="2" t="e">
        <f ca="1">_xludf.XLOOKUP(C137,Customers!$A$4:$A$53,Customers!$B$4:$B$53,"Not found")</f>
        <v>#NAME?</v>
      </c>
      <c r="M137" s="2" t="e">
        <f ca="1">_xludf.XLOOKUP(C137,Customers!$A$4:$A$53,Customers!$C$4:$C$53,"Not found")</f>
        <v>#NAME?</v>
      </c>
      <c r="N137" s="2" t="e">
        <f ca="1">_xludf.XLOOKUP(C137,Customers!$A$4:$A$53,Customers!$D$4:$D$53,"Not found")</f>
        <v>#NAME?</v>
      </c>
      <c r="O137" s="2" t="e">
        <f ca="1">_xludf.XLOOKUP(C137,Customers!$A$4:$A$53,Customers!$E$4:$E$53,"Not found")</f>
        <v>#NAME?</v>
      </c>
      <c r="P137" s="2" t="e">
        <f ca="1">_xludf.XLOOKUP(C137,Customers!$A$4:$A$53,Customers!$F$4:$F$53,"Not found")</f>
        <v>#NAME?</v>
      </c>
      <c r="Q137" s="2" t="e">
        <f ca="1">_xludf.XLOOKUP(D137,Products!$A$4:$A$23,Products!$B$4:$B$23,"Not found")</f>
        <v>#NAME?</v>
      </c>
      <c r="R137" s="2" t="e">
        <f ca="1">_xludf.XLOOKUP(D137,Products!$A$4:$A$23,Products!$C$4:$C$23,"Not found")</f>
        <v>#NAME?</v>
      </c>
      <c r="S137" s="2" t="e">
        <f ca="1">_xludf.XLOOKUP(E137,Sales_Reps!$A$4:$A$11,Sales_Reps!$B$4:$B$11,"Not found")</f>
        <v>#NAME?</v>
      </c>
      <c r="T137" s="2" t="e">
        <f ca="1">_xludf.XLOOKUP(E137,Sales_Reps!$A$4:$A$11,Sales_Reps!$C$4:$C$11,"Not found")</f>
        <v>#NAME?</v>
      </c>
      <c r="U137" s="2"/>
      <c r="V137" s="2"/>
      <c r="W137" s="2"/>
      <c r="X137" s="2"/>
      <c r="Y137" s="2"/>
      <c r="Z137" s="2"/>
    </row>
    <row r="138" spans="1:26" ht="15">
      <c r="A138" s="2" t="s">
        <v>442</v>
      </c>
      <c r="B138" s="6">
        <v>46079</v>
      </c>
      <c r="C138" s="2" t="s">
        <v>184</v>
      </c>
      <c r="D138" s="2" t="s">
        <v>261</v>
      </c>
      <c r="E138" s="2" t="s">
        <v>284</v>
      </c>
      <c r="F138" s="2">
        <v>8</v>
      </c>
      <c r="G138" s="4">
        <v>2200</v>
      </c>
      <c r="H138" s="5">
        <v>0.1</v>
      </c>
      <c r="I138" s="4">
        <v>15840</v>
      </c>
      <c r="J138" s="4">
        <v>7920</v>
      </c>
      <c r="K138" s="2" t="s">
        <v>313</v>
      </c>
      <c r="L138" s="2" t="e">
        <f ca="1">_xludf.XLOOKUP(C138,Customers!$A$4:$A$53,Customers!$B$4:$B$53,"Not found")</f>
        <v>#NAME?</v>
      </c>
      <c r="M138" s="2" t="e">
        <f ca="1">_xludf.XLOOKUP(C138,Customers!$A$4:$A$53,Customers!$C$4:$C$53,"Not found")</f>
        <v>#NAME?</v>
      </c>
      <c r="N138" s="2" t="e">
        <f ca="1">_xludf.XLOOKUP(C138,Customers!$A$4:$A$53,Customers!$D$4:$D$53,"Not found")</f>
        <v>#NAME?</v>
      </c>
      <c r="O138" s="2" t="e">
        <f ca="1">_xludf.XLOOKUP(C138,Customers!$A$4:$A$53,Customers!$E$4:$E$53,"Not found")</f>
        <v>#NAME?</v>
      </c>
      <c r="P138" s="2" t="e">
        <f ca="1">_xludf.XLOOKUP(C138,Customers!$A$4:$A$53,Customers!$F$4:$F$53,"Not found")</f>
        <v>#NAME?</v>
      </c>
      <c r="Q138" s="2" t="e">
        <f ca="1">_xludf.XLOOKUP(D138,Products!$A$4:$A$23,Products!$B$4:$B$23,"Not found")</f>
        <v>#NAME?</v>
      </c>
      <c r="R138" s="2" t="e">
        <f ca="1">_xludf.XLOOKUP(D138,Products!$A$4:$A$23,Products!$C$4:$C$23,"Not found")</f>
        <v>#NAME?</v>
      </c>
      <c r="S138" s="2" t="e">
        <f ca="1">_xludf.XLOOKUP(E138,Sales_Reps!$A$4:$A$11,Sales_Reps!$B$4:$B$11,"Not found")</f>
        <v>#NAME?</v>
      </c>
      <c r="T138" s="2" t="e">
        <f ca="1">_xludf.XLOOKUP(E138,Sales_Reps!$A$4:$A$11,Sales_Reps!$C$4:$C$11,"Not found")</f>
        <v>#NAME?</v>
      </c>
      <c r="U138" s="2"/>
      <c r="V138" s="2"/>
      <c r="W138" s="2"/>
      <c r="X138" s="2"/>
      <c r="Y138" s="2"/>
      <c r="Z138" s="2"/>
    </row>
    <row r="139" spans="1:26">
      <c r="A139" s="2" t="s">
        <v>443</v>
      </c>
      <c r="B139" s="6">
        <v>46125</v>
      </c>
      <c r="C139" s="2" t="s">
        <v>114</v>
      </c>
      <c r="D139" s="2" t="s">
        <v>271</v>
      </c>
      <c r="E139" s="2" t="s">
        <v>284</v>
      </c>
      <c r="F139" s="2">
        <v>1</v>
      </c>
      <c r="G139" s="4">
        <v>2800</v>
      </c>
      <c r="H139" s="5">
        <v>0.05</v>
      </c>
      <c r="I139" s="4">
        <v>2660</v>
      </c>
      <c r="J139" s="4">
        <v>1383.2</v>
      </c>
      <c r="K139" s="2" t="s">
        <v>309</v>
      </c>
      <c r="L139" s="2" t="e">
        <f ca="1">_xludf.XLOOKUP(C139,Customers!$A$4:$A$53,Customers!$B$4:$B$53,"Not found")</f>
        <v>#NAME?</v>
      </c>
      <c r="M139" s="2" t="e">
        <f ca="1">_xludf.XLOOKUP(C139,Customers!$A$4:$A$53,Customers!$C$4:$C$53,"Not found")</f>
        <v>#NAME?</v>
      </c>
      <c r="N139" s="2" t="e">
        <f ca="1">_xludf.XLOOKUP(C139,Customers!$A$4:$A$53,Customers!$D$4:$D$53,"Not found")</f>
        <v>#NAME?</v>
      </c>
      <c r="O139" s="2" t="e">
        <f ca="1">_xludf.XLOOKUP(C139,Customers!$A$4:$A$53,Customers!$E$4:$E$53,"Not found")</f>
        <v>#NAME?</v>
      </c>
      <c r="P139" s="2" t="e">
        <f ca="1">_xludf.XLOOKUP(C139,Customers!$A$4:$A$53,Customers!$F$4:$F$53,"Not found")</f>
        <v>#NAME?</v>
      </c>
      <c r="Q139" s="2" t="e">
        <f ca="1">_xludf.XLOOKUP(D139,Products!$A$4:$A$23,Products!$B$4:$B$23,"Not found")</f>
        <v>#NAME?</v>
      </c>
      <c r="R139" s="2" t="e">
        <f ca="1">_xludf.XLOOKUP(D139,Products!$A$4:$A$23,Products!$C$4:$C$23,"Not found")</f>
        <v>#NAME?</v>
      </c>
      <c r="S139" s="2" t="e">
        <f ca="1">_xludf.XLOOKUP(E139,Sales_Reps!$A$4:$A$11,Sales_Reps!$B$4:$B$11,"Not found")</f>
        <v>#NAME?</v>
      </c>
      <c r="T139" s="2" t="e">
        <f ca="1">_xludf.XLOOKUP(E139,Sales_Reps!$A$4:$A$11,Sales_Reps!$C$4:$C$11,"Not found")</f>
        <v>#NAME?</v>
      </c>
      <c r="U139" s="2"/>
      <c r="V139" s="2"/>
      <c r="W139" s="2"/>
      <c r="X139" s="2"/>
      <c r="Y139" s="2"/>
      <c r="Z139" s="2"/>
    </row>
    <row r="140" spans="1:26">
      <c r="A140" s="2" t="s">
        <v>444</v>
      </c>
      <c r="B140" s="6">
        <v>46105</v>
      </c>
      <c r="C140" s="2" t="s">
        <v>217</v>
      </c>
      <c r="D140" s="2" t="s">
        <v>242</v>
      </c>
      <c r="E140" s="2" t="s">
        <v>298</v>
      </c>
      <c r="F140" s="2">
        <v>2</v>
      </c>
      <c r="G140" s="4">
        <v>70</v>
      </c>
      <c r="H140" s="5">
        <v>0</v>
      </c>
      <c r="I140" s="4">
        <v>140</v>
      </c>
      <c r="J140" s="4">
        <v>56</v>
      </c>
      <c r="K140" s="2" t="s">
        <v>313</v>
      </c>
      <c r="L140" s="2" t="e">
        <f ca="1">_xludf.XLOOKUP(C140,Customers!$A$4:$A$53,Customers!$B$4:$B$53,"Not found")</f>
        <v>#NAME?</v>
      </c>
      <c r="M140" s="2" t="e">
        <f ca="1">_xludf.XLOOKUP(C140,Customers!$A$4:$A$53,Customers!$C$4:$C$53,"Not found")</f>
        <v>#NAME?</v>
      </c>
      <c r="N140" s="2" t="e">
        <f ca="1">_xludf.XLOOKUP(C140,Customers!$A$4:$A$53,Customers!$D$4:$D$53,"Not found")</f>
        <v>#NAME?</v>
      </c>
      <c r="O140" s="2" t="e">
        <f ca="1">_xludf.XLOOKUP(C140,Customers!$A$4:$A$53,Customers!$E$4:$E$53,"Not found")</f>
        <v>#NAME?</v>
      </c>
      <c r="P140" s="2" t="e">
        <f ca="1">_xludf.XLOOKUP(C140,Customers!$A$4:$A$53,Customers!$F$4:$F$53,"Not found")</f>
        <v>#NAME?</v>
      </c>
      <c r="Q140" s="2" t="e">
        <f ca="1">_xludf.XLOOKUP(D140,Products!$A$4:$A$23,Products!$B$4:$B$23,"Not found")</f>
        <v>#NAME?</v>
      </c>
      <c r="R140" s="2" t="e">
        <f ca="1">_xludf.XLOOKUP(D140,Products!$A$4:$A$23,Products!$C$4:$C$23,"Not found")</f>
        <v>#NAME?</v>
      </c>
      <c r="S140" s="2" t="e">
        <f ca="1">_xludf.XLOOKUP(E140,Sales_Reps!$A$4:$A$11,Sales_Reps!$B$4:$B$11,"Not found")</f>
        <v>#NAME?</v>
      </c>
      <c r="T140" s="2" t="e">
        <f ca="1">_xludf.XLOOKUP(E140,Sales_Reps!$A$4:$A$11,Sales_Reps!$C$4:$C$11,"Not found")</f>
        <v>#NAME?</v>
      </c>
      <c r="U140" s="2"/>
      <c r="V140" s="2"/>
      <c r="W140" s="2"/>
      <c r="X140" s="2"/>
      <c r="Y140" s="2"/>
      <c r="Z140" s="2"/>
    </row>
    <row r="141" spans="1:26">
      <c r="A141" s="2" t="s">
        <v>445</v>
      </c>
      <c r="B141" s="6">
        <v>46158</v>
      </c>
      <c r="C141" s="2" t="s">
        <v>140</v>
      </c>
      <c r="D141" s="2" t="s">
        <v>240</v>
      </c>
      <c r="E141" s="2" t="s">
        <v>298</v>
      </c>
      <c r="F141" s="2">
        <v>7</v>
      </c>
      <c r="G141" s="4">
        <v>300</v>
      </c>
      <c r="H141" s="5">
        <v>0.1</v>
      </c>
      <c r="I141" s="4">
        <v>1890</v>
      </c>
      <c r="J141" s="4">
        <v>567</v>
      </c>
      <c r="K141" s="2" t="s">
        <v>306</v>
      </c>
      <c r="L141" s="2" t="e">
        <f ca="1">_xludf.XLOOKUP(C141,Customers!$A$4:$A$53,Customers!$B$4:$B$53,"Not found")</f>
        <v>#NAME?</v>
      </c>
      <c r="M141" s="2" t="e">
        <f ca="1">_xludf.XLOOKUP(C141,Customers!$A$4:$A$53,Customers!$C$4:$C$53,"Not found")</f>
        <v>#NAME?</v>
      </c>
      <c r="N141" s="2" t="e">
        <f ca="1">_xludf.XLOOKUP(C141,Customers!$A$4:$A$53,Customers!$D$4:$D$53,"Not found")</f>
        <v>#NAME?</v>
      </c>
      <c r="O141" s="2" t="e">
        <f ca="1">_xludf.XLOOKUP(C141,Customers!$A$4:$A$53,Customers!$E$4:$E$53,"Not found")</f>
        <v>#NAME?</v>
      </c>
      <c r="P141" s="2" t="e">
        <f ca="1">_xludf.XLOOKUP(C141,Customers!$A$4:$A$53,Customers!$F$4:$F$53,"Not found")</f>
        <v>#NAME?</v>
      </c>
      <c r="Q141" s="2" t="e">
        <f ca="1">_xludf.XLOOKUP(D141,Products!$A$4:$A$23,Products!$B$4:$B$23,"Not found")</f>
        <v>#NAME?</v>
      </c>
      <c r="R141" s="2" t="e">
        <f ca="1">_xludf.XLOOKUP(D141,Products!$A$4:$A$23,Products!$C$4:$C$23,"Not found")</f>
        <v>#NAME?</v>
      </c>
      <c r="S141" s="2" t="e">
        <f ca="1">_xludf.XLOOKUP(E141,Sales_Reps!$A$4:$A$11,Sales_Reps!$B$4:$B$11,"Not found")</f>
        <v>#NAME?</v>
      </c>
      <c r="T141" s="2" t="e">
        <f ca="1">_xludf.XLOOKUP(E141,Sales_Reps!$A$4:$A$11,Sales_Reps!$C$4:$C$11,"Not found")</f>
        <v>#NAME?</v>
      </c>
      <c r="U141" s="2"/>
      <c r="V141" s="2"/>
      <c r="W141" s="2"/>
      <c r="X141" s="2"/>
      <c r="Y141" s="2"/>
      <c r="Z141" s="2"/>
    </row>
    <row r="142" spans="1:26">
      <c r="A142" s="2" t="s">
        <v>446</v>
      </c>
      <c r="B142" s="6">
        <v>46164</v>
      </c>
      <c r="C142" s="2" t="s">
        <v>186</v>
      </c>
      <c r="D142" s="2" t="s">
        <v>271</v>
      </c>
      <c r="E142" s="2" t="s">
        <v>287</v>
      </c>
      <c r="F142" s="2">
        <v>2</v>
      </c>
      <c r="G142" s="4">
        <v>2800</v>
      </c>
      <c r="H142" s="5">
        <v>0.15</v>
      </c>
      <c r="I142" s="4">
        <v>4760</v>
      </c>
      <c r="J142" s="4">
        <v>2475.1999999999998</v>
      </c>
      <c r="K142" s="2" t="s">
        <v>306</v>
      </c>
      <c r="L142" s="2" t="e">
        <f ca="1">_xludf.XLOOKUP(C142,Customers!$A$4:$A$53,Customers!$B$4:$B$53,"Not found")</f>
        <v>#NAME?</v>
      </c>
      <c r="M142" s="2" t="e">
        <f ca="1">_xludf.XLOOKUP(C142,Customers!$A$4:$A$53,Customers!$C$4:$C$53,"Not found")</f>
        <v>#NAME?</v>
      </c>
      <c r="N142" s="2" t="e">
        <f ca="1">_xludf.XLOOKUP(C142,Customers!$A$4:$A$53,Customers!$D$4:$D$53,"Not found")</f>
        <v>#NAME?</v>
      </c>
      <c r="O142" s="2" t="e">
        <f ca="1">_xludf.XLOOKUP(C142,Customers!$A$4:$A$53,Customers!$E$4:$E$53,"Not found")</f>
        <v>#NAME?</v>
      </c>
      <c r="P142" s="2" t="e">
        <f ca="1">_xludf.XLOOKUP(C142,Customers!$A$4:$A$53,Customers!$F$4:$F$53,"Not found")</f>
        <v>#NAME?</v>
      </c>
      <c r="Q142" s="2" t="e">
        <f ca="1">_xludf.XLOOKUP(D142,Products!$A$4:$A$23,Products!$B$4:$B$23,"Not found")</f>
        <v>#NAME?</v>
      </c>
      <c r="R142" s="2" t="e">
        <f ca="1">_xludf.XLOOKUP(D142,Products!$A$4:$A$23,Products!$C$4:$C$23,"Not found")</f>
        <v>#NAME?</v>
      </c>
      <c r="S142" s="2" t="e">
        <f ca="1">_xludf.XLOOKUP(E142,Sales_Reps!$A$4:$A$11,Sales_Reps!$B$4:$B$11,"Not found")</f>
        <v>#NAME?</v>
      </c>
      <c r="T142" s="2" t="e">
        <f ca="1">_xludf.XLOOKUP(E142,Sales_Reps!$A$4:$A$11,Sales_Reps!$C$4:$C$11,"Not found")</f>
        <v>#NAME?</v>
      </c>
      <c r="U142" s="2"/>
      <c r="V142" s="2"/>
      <c r="W142" s="2"/>
      <c r="X142" s="2"/>
      <c r="Y142" s="2"/>
      <c r="Z142" s="2"/>
    </row>
    <row r="143" spans="1:26">
      <c r="A143" s="2" t="s">
        <v>447</v>
      </c>
      <c r="B143" s="6">
        <v>46125</v>
      </c>
      <c r="C143" s="2" t="s">
        <v>182</v>
      </c>
      <c r="D143" s="2" t="s">
        <v>267</v>
      </c>
      <c r="E143" s="2" t="s">
        <v>296</v>
      </c>
      <c r="F143" s="2">
        <v>6</v>
      </c>
      <c r="G143" s="4">
        <v>120</v>
      </c>
      <c r="H143" s="5">
        <v>0.05</v>
      </c>
      <c r="I143" s="4">
        <v>684</v>
      </c>
      <c r="J143" s="4">
        <v>259.92</v>
      </c>
      <c r="K143" s="2" t="s">
        <v>309</v>
      </c>
      <c r="L143" s="2" t="e">
        <f ca="1">_xludf.XLOOKUP(C143,Customers!$A$4:$A$53,Customers!$B$4:$B$53,"Not found")</f>
        <v>#NAME?</v>
      </c>
      <c r="M143" s="2" t="e">
        <f ca="1">_xludf.XLOOKUP(C143,Customers!$A$4:$A$53,Customers!$C$4:$C$53,"Not found")</f>
        <v>#NAME?</v>
      </c>
      <c r="N143" s="2" t="e">
        <f ca="1">_xludf.XLOOKUP(C143,Customers!$A$4:$A$53,Customers!$D$4:$D$53,"Not found")</f>
        <v>#NAME?</v>
      </c>
      <c r="O143" s="2" t="e">
        <f ca="1">_xludf.XLOOKUP(C143,Customers!$A$4:$A$53,Customers!$E$4:$E$53,"Not found")</f>
        <v>#NAME?</v>
      </c>
      <c r="P143" s="2" t="e">
        <f ca="1">_xludf.XLOOKUP(C143,Customers!$A$4:$A$53,Customers!$F$4:$F$53,"Not found")</f>
        <v>#NAME?</v>
      </c>
      <c r="Q143" s="2" t="e">
        <f ca="1">_xludf.XLOOKUP(D143,Products!$A$4:$A$23,Products!$B$4:$B$23,"Not found")</f>
        <v>#NAME?</v>
      </c>
      <c r="R143" s="2" t="e">
        <f ca="1">_xludf.XLOOKUP(D143,Products!$A$4:$A$23,Products!$C$4:$C$23,"Not found")</f>
        <v>#NAME?</v>
      </c>
      <c r="S143" s="2" t="e">
        <f ca="1">_xludf.XLOOKUP(E143,Sales_Reps!$A$4:$A$11,Sales_Reps!$B$4:$B$11,"Not found")</f>
        <v>#NAME?</v>
      </c>
      <c r="T143" s="2" t="e">
        <f ca="1">_xludf.XLOOKUP(E143,Sales_Reps!$A$4:$A$11,Sales_Reps!$C$4:$C$11,"Not found")</f>
        <v>#NAME?</v>
      </c>
      <c r="U143" s="2"/>
      <c r="V143" s="2"/>
      <c r="W143" s="2"/>
      <c r="X143" s="2"/>
      <c r="Y143" s="2"/>
      <c r="Z143" s="2"/>
    </row>
    <row r="144" spans="1:26">
      <c r="A144" s="2" t="s">
        <v>448</v>
      </c>
      <c r="B144" s="6">
        <v>46062</v>
      </c>
      <c r="C144" s="2" t="s">
        <v>223</v>
      </c>
      <c r="D144" s="2" t="s">
        <v>242</v>
      </c>
      <c r="E144" s="2" t="s">
        <v>294</v>
      </c>
      <c r="F144" s="2">
        <v>5</v>
      </c>
      <c r="G144" s="4">
        <v>70</v>
      </c>
      <c r="H144" s="5">
        <v>0</v>
      </c>
      <c r="I144" s="4">
        <v>350</v>
      </c>
      <c r="J144" s="4">
        <v>140</v>
      </c>
      <c r="K144" s="2" t="s">
        <v>309</v>
      </c>
      <c r="L144" s="2" t="e">
        <f ca="1">_xludf.XLOOKUP(C144,Customers!$A$4:$A$53,Customers!$B$4:$B$53,"Not found")</f>
        <v>#NAME?</v>
      </c>
      <c r="M144" s="2" t="e">
        <f ca="1">_xludf.XLOOKUP(C144,Customers!$A$4:$A$53,Customers!$C$4:$C$53,"Not found")</f>
        <v>#NAME?</v>
      </c>
      <c r="N144" s="2" t="e">
        <f ca="1">_xludf.XLOOKUP(C144,Customers!$A$4:$A$53,Customers!$D$4:$D$53,"Not found")</f>
        <v>#NAME?</v>
      </c>
      <c r="O144" s="2" t="e">
        <f ca="1">_xludf.XLOOKUP(C144,Customers!$A$4:$A$53,Customers!$E$4:$E$53,"Not found")</f>
        <v>#NAME?</v>
      </c>
      <c r="P144" s="2" t="e">
        <f ca="1">_xludf.XLOOKUP(C144,Customers!$A$4:$A$53,Customers!$F$4:$F$53,"Not found")</f>
        <v>#NAME?</v>
      </c>
      <c r="Q144" s="2" t="e">
        <f ca="1">_xludf.XLOOKUP(D144,Products!$A$4:$A$23,Products!$B$4:$B$23,"Not found")</f>
        <v>#NAME?</v>
      </c>
      <c r="R144" s="2" t="e">
        <f ca="1">_xludf.XLOOKUP(D144,Products!$A$4:$A$23,Products!$C$4:$C$23,"Not found")</f>
        <v>#NAME?</v>
      </c>
      <c r="S144" s="2" t="e">
        <f ca="1">_xludf.XLOOKUP(E144,Sales_Reps!$A$4:$A$11,Sales_Reps!$B$4:$B$11,"Not found")</f>
        <v>#NAME?</v>
      </c>
      <c r="T144" s="2" t="e">
        <f ca="1">_xludf.XLOOKUP(E144,Sales_Reps!$A$4:$A$11,Sales_Reps!$C$4:$C$11,"Not found")</f>
        <v>#NAME?</v>
      </c>
      <c r="U144" s="2"/>
      <c r="V144" s="2"/>
      <c r="W144" s="2"/>
      <c r="X144" s="2"/>
      <c r="Y144" s="2"/>
      <c r="Z144" s="2"/>
    </row>
    <row r="145" spans="1:26">
      <c r="A145" s="2" t="s">
        <v>449</v>
      </c>
      <c r="B145" s="6">
        <v>46118</v>
      </c>
      <c r="C145" s="2" t="s">
        <v>122</v>
      </c>
      <c r="D145" s="2" t="s">
        <v>240</v>
      </c>
      <c r="E145" s="2" t="s">
        <v>284</v>
      </c>
      <c r="F145" s="2">
        <v>7</v>
      </c>
      <c r="G145" s="4">
        <v>300</v>
      </c>
      <c r="H145" s="5">
        <v>0</v>
      </c>
      <c r="I145" s="4">
        <v>2100</v>
      </c>
      <c r="J145" s="4">
        <v>630</v>
      </c>
      <c r="K145" s="2" t="s">
        <v>306</v>
      </c>
      <c r="L145" s="2" t="e">
        <f ca="1">_xludf.XLOOKUP(C145,Customers!$A$4:$A$53,Customers!$B$4:$B$53,"Not found")</f>
        <v>#NAME?</v>
      </c>
      <c r="M145" s="2" t="e">
        <f ca="1">_xludf.XLOOKUP(C145,Customers!$A$4:$A$53,Customers!$C$4:$C$53,"Not found")</f>
        <v>#NAME?</v>
      </c>
      <c r="N145" s="2" t="e">
        <f ca="1">_xludf.XLOOKUP(C145,Customers!$A$4:$A$53,Customers!$D$4:$D$53,"Not found")</f>
        <v>#NAME?</v>
      </c>
      <c r="O145" s="2" t="e">
        <f ca="1">_xludf.XLOOKUP(C145,Customers!$A$4:$A$53,Customers!$E$4:$E$53,"Not found")</f>
        <v>#NAME?</v>
      </c>
      <c r="P145" s="2" t="e">
        <f ca="1">_xludf.XLOOKUP(C145,Customers!$A$4:$A$53,Customers!$F$4:$F$53,"Not found")</f>
        <v>#NAME?</v>
      </c>
      <c r="Q145" s="2" t="e">
        <f ca="1">_xludf.XLOOKUP(D145,Products!$A$4:$A$23,Products!$B$4:$B$23,"Not found")</f>
        <v>#NAME?</v>
      </c>
      <c r="R145" s="2" t="e">
        <f ca="1">_xludf.XLOOKUP(D145,Products!$A$4:$A$23,Products!$C$4:$C$23,"Not found")</f>
        <v>#NAME?</v>
      </c>
      <c r="S145" s="2" t="e">
        <f ca="1">_xludf.XLOOKUP(E145,Sales_Reps!$A$4:$A$11,Sales_Reps!$B$4:$B$11,"Not found")</f>
        <v>#NAME?</v>
      </c>
      <c r="T145" s="2" t="e">
        <f ca="1">_xludf.XLOOKUP(E145,Sales_Reps!$A$4:$A$11,Sales_Reps!$C$4:$C$11,"Not found")</f>
        <v>#NAME?</v>
      </c>
      <c r="U145" s="2"/>
      <c r="V145" s="2"/>
      <c r="W145" s="2"/>
      <c r="X145" s="2"/>
      <c r="Y145" s="2"/>
      <c r="Z145" s="2"/>
    </row>
    <row r="146" spans="1:26">
      <c r="A146" s="2" t="s">
        <v>450</v>
      </c>
      <c r="B146" s="6">
        <v>46113</v>
      </c>
      <c r="C146" s="2" t="s">
        <v>199</v>
      </c>
      <c r="D146" s="2" t="s">
        <v>238</v>
      </c>
      <c r="E146" s="2" t="s">
        <v>292</v>
      </c>
      <c r="F146" s="2">
        <v>2</v>
      </c>
      <c r="G146" s="4">
        <v>1800</v>
      </c>
      <c r="H146" s="5">
        <v>0.05</v>
      </c>
      <c r="I146" s="4">
        <v>3420</v>
      </c>
      <c r="J146" s="4">
        <v>855</v>
      </c>
      <c r="K146" s="2" t="s">
        <v>309</v>
      </c>
      <c r="L146" s="2" t="e">
        <f ca="1">_xludf.XLOOKUP(C146,Customers!$A$4:$A$53,Customers!$B$4:$B$53,"Not found")</f>
        <v>#NAME?</v>
      </c>
      <c r="M146" s="2" t="e">
        <f ca="1">_xludf.XLOOKUP(C146,Customers!$A$4:$A$53,Customers!$C$4:$C$53,"Not found")</f>
        <v>#NAME?</v>
      </c>
      <c r="N146" s="2" t="e">
        <f ca="1">_xludf.XLOOKUP(C146,Customers!$A$4:$A$53,Customers!$D$4:$D$53,"Not found")</f>
        <v>#NAME?</v>
      </c>
      <c r="O146" s="2" t="e">
        <f ca="1">_xludf.XLOOKUP(C146,Customers!$A$4:$A$53,Customers!$E$4:$E$53,"Not found")</f>
        <v>#NAME?</v>
      </c>
      <c r="P146" s="2" t="e">
        <f ca="1">_xludf.XLOOKUP(C146,Customers!$A$4:$A$53,Customers!$F$4:$F$53,"Not found")</f>
        <v>#NAME?</v>
      </c>
      <c r="Q146" s="2" t="e">
        <f ca="1">_xludf.XLOOKUP(D146,Products!$A$4:$A$23,Products!$B$4:$B$23,"Not found")</f>
        <v>#NAME?</v>
      </c>
      <c r="R146" s="2" t="e">
        <f ca="1">_xludf.XLOOKUP(D146,Products!$A$4:$A$23,Products!$C$4:$C$23,"Not found")</f>
        <v>#NAME?</v>
      </c>
      <c r="S146" s="2" t="e">
        <f ca="1">_xludf.XLOOKUP(E146,Sales_Reps!$A$4:$A$11,Sales_Reps!$B$4:$B$11,"Not found")</f>
        <v>#NAME?</v>
      </c>
      <c r="T146" s="2" t="e">
        <f ca="1">_xludf.XLOOKUP(E146,Sales_Reps!$A$4:$A$11,Sales_Reps!$C$4:$C$11,"Not found")</f>
        <v>#NAME?</v>
      </c>
      <c r="U146" s="2"/>
      <c r="V146" s="2"/>
      <c r="W146" s="2"/>
      <c r="X146" s="2"/>
      <c r="Y146" s="2"/>
      <c r="Z146" s="2"/>
    </row>
    <row r="147" spans="1:26" ht="15">
      <c r="A147" s="2" t="s">
        <v>451</v>
      </c>
      <c r="B147" s="6">
        <v>46170</v>
      </c>
      <c r="C147" s="2" t="s">
        <v>223</v>
      </c>
      <c r="D147" s="2" t="s">
        <v>238</v>
      </c>
      <c r="E147" s="2" t="s">
        <v>292</v>
      </c>
      <c r="F147" s="2">
        <v>6</v>
      </c>
      <c r="G147" s="4">
        <v>1800</v>
      </c>
      <c r="H147" s="5">
        <v>0</v>
      </c>
      <c r="I147" s="4">
        <v>10800</v>
      </c>
      <c r="J147" s="4">
        <v>2700</v>
      </c>
      <c r="K147" s="2" t="s">
        <v>313</v>
      </c>
      <c r="L147" s="2" t="e">
        <f ca="1">_xludf.XLOOKUP(C147,Customers!$A$4:$A$53,Customers!$B$4:$B$53,"Not found")</f>
        <v>#NAME?</v>
      </c>
      <c r="M147" s="2" t="e">
        <f ca="1">_xludf.XLOOKUP(C147,Customers!$A$4:$A$53,Customers!$C$4:$C$53,"Not found")</f>
        <v>#NAME?</v>
      </c>
      <c r="N147" s="2" t="e">
        <f ca="1">_xludf.XLOOKUP(C147,Customers!$A$4:$A$53,Customers!$D$4:$D$53,"Not found")</f>
        <v>#NAME?</v>
      </c>
      <c r="O147" s="2" t="e">
        <f ca="1">_xludf.XLOOKUP(C147,Customers!$A$4:$A$53,Customers!$E$4:$E$53,"Not found")</f>
        <v>#NAME?</v>
      </c>
      <c r="P147" s="2" t="e">
        <f ca="1">_xludf.XLOOKUP(C147,Customers!$A$4:$A$53,Customers!$F$4:$F$53,"Not found")</f>
        <v>#NAME?</v>
      </c>
      <c r="Q147" s="2" t="e">
        <f ca="1">_xludf.XLOOKUP(D147,Products!$A$4:$A$23,Products!$B$4:$B$23,"Not found")</f>
        <v>#NAME?</v>
      </c>
      <c r="R147" s="2" t="e">
        <f ca="1">_xludf.XLOOKUP(D147,Products!$A$4:$A$23,Products!$C$4:$C$23,"Not found")</f>
        <v>#NAME?</v>
      </c>
      <c r="S147" s="2" t="e">
        <f ca="1">_xludf.XLOOKUP(E147,Sales_Reps!$A$4:$A$11,Sales_Reps!$B$4:$B$11,"Not found")</f>
        <v>#NAME?</v>
      </c>
      <c r="T147" s="2" t="e">
        <f ca="1">_xludf.XLOOKUP(E147,Sales_Reps!$A$4:$A$11,Sales_Reps!$C$4:$C$11,"Not found")</f>
        <v>#NAME?</v>
      </c>
      <c r="U147" s="2"/>
      <c r="V147" s="2"/>
      <c r="W147" s="2"/>
      <c r="X147" s="2"/>
      <c r="Y147" s="2"/>
      <c r="Z147" s="2"/>
    </row>
    <row r="148" spans="1:26">
      <c r="A148" s="2" t="s">
        <v>452</v>
      </c>
      <c r="B148" s="6">
        <v>46165</v>
      </c>
      <c r="C148" s="2" t="s">
        <v>152</v>
      </c>
      <c r="D148" s="2" t="s">
        <v>245</v>
      </c>
      <c r="E148" s="2" t="s">
        <v>287</v>
      </c>
      <c r="F148" s="2">
        <v>2</v>
      </c>
      <c r="G148" s="4">
        <v>35</v>
      </c>
      <c r="H148" s="5">
        <v>0</v>
      </c>
      <c r="I148" s="4">
        <v>70</v>
      </c>
      <c r="J148" s="4">
        <v>29.4</v>
      </c>
      <c r="K148" s="2" t="s">
        <v>306</v>
      </c>
      <c r="L148" s="2" t="e">
        <f ca="1">_xludf.XLOOKUP(C148,Customers!$A$4:$A$53,Customers!$B$4:$B$53,"Not found")</f>
        <v>#NAME?</v>
      </c>
      <c r="M148" s="2" t="e">
        <f ca="1">_xludf.XLOOKUP(C148,Customers!$A$4:$A$53,Customers!$C$4:$C$53,"Not found")</f>
        <v>#NAME?</v>
      </c>
      <c r="N148" s="2" t="e">
        <f ca="1">_xludf.XLOOKUP(C148,Customers!$A$4:$A$53,Customers!$D$4:$D$53,"Not found")</f>
        <v>#NAME?</v>
      </c>
      <c r="O148" s="2" t="e">
        <f ca="1">_xludf.XLOOKUP(C148,Customers!$A$4:$A$53,Customers!$E$4:$E$53,"Not found")</f>
        <v>#NAME?</v>
      </c>
      <c r="P148" s="2" t="e">
        <f ca="1">_xludf.XLOOKUP(C148,Customers!$A$4:$A$53,Customers!$F$4:$F$53,"Not found")</f>
        <v>#NAME?</v>
      </c>
      <c r="Q148" s="2" t="e">
        <f ca="1">_xludf.XLOOKUP(D148,Products!$A$4:$A$23,Products!$B$4:$B$23,"Not found")</f>
        <v>#NAME?</v>
      </c>
      <c r="R148" s="2" t="e">
        <f ca="1">_xludf.XLOOKUP(D148,Products!$A$4:$A$23,Products!$C$4:$C$23,"Not found")</f>
        <v>#NAME?</v>
      </c>
      <c r="S148" s="2" t="e">
        <f ca="1">_xludf.XLOOKUP(E148,Sales_Reps!$A$4:$A$11,Sales_Reps!$B$4:$B$11,"Not found")</f>
        <v>#NAME?</v>
      </c>
      <c r="T148" s="2" t="e">
        <f ca="1">_xludf.XLOOKUP(E148,Sales_Reps!$A$4:$A$11,Sales_Reps!$C$4:$C$11,"Not found")</f>
        <v>#NAME?</v>
      </c>
      <c r="U148" s="2"/>
      <c r="V148" s="2"/>
      <c r="W148" s="2"/>
      <c r="X148" s="2"/>
      <c r="Y148" s="2"/>
      <c r="Z148" s="2"/>
    </row>
    <row r="149" spans="1:26">
      <c r="A149" s="2" t="s">
        <v>453</v>
      </c>
      <c r="B149" s="6">
        <v>46091</v>
      </c>
      <c r="C149" s="2" t="s">
        <v>131</v>
      </c>
      <c r="D149" s="2" t="s">
        <v>254</v>
      </c>
      <c r="E149" s="2" t="s">
        <v>296</v>
      </c>
      <c r="F149" s="2">
        <v>1</v>
      </c>
      <c r="G149" s="4">
        <v>3500</v>
      </c>
      <c r="H149" s="5">
        <v>0.1</v>
      </c>
      <c r="I149" s="4">
        <v>3150</v>
      </c>
      <c r="J149" s="4">
        <v>1732.5</v>
      </c>
      <c r="K149" s="2" t="s">
        <v>306</v>
      </c>
      <c r="L149" s="2" t="e">
        <f ca="1">_xludf.XLOOKUP(C149,Customers!$A$4:$A$53,Customers!$B$4:$B$53,"Not found")</f>
        <v>#NAME?</v>
      </c>
      <c r="M149" s="2" t="e">
        <f ca="1">_xludf.XLOOKUP(C149,Customers!$A$4:$A$53,Customers!$C$4:$C$53,"Not found")</f>
        <v>#NAME?</v>
      </c>
      <c r="N149" s="2" t="e">
        <f ca="1">_xludf.XLOOKUP(C149,Customers!$A$4:$A$53,Customers!$D$4:$D$53,"Not found")</f>
        <v>#NAME?</v>
      </c>
      <c r="O149" s="2" t="e">
        <f ca="1">_xludf.XLOOKUP(C149,Customers!$A$4:$A$53,Customers!$E$4:$E$53,"Not found")</f>
        <v>#NAME?</v>
      </c>
      <c r="P149" s="2" t="e">
        <f ca="1">_xludf.XLOOKUP(C149,Customers!$A$4:$A$53,Customers!$F$4:$F$53,"Not found")</f>
        <v>#NAME?</v>
      </c>
      <c r="Q149" s="2" t="e">
        <f ca="1">_xludf.XLOOKUP(D149,Products!$A$4:$A$23,Products!$B$4:$B$23,"Not found")</f>
        <v>#NAME?</v>
      </c>
      <c r="R149" s="2" t="e">
        <f ca="1">_xludf.XLOOKUP(D149,Products!$A$4:$A$23,Products!$C$4:$C$23,"Not found")</f>
        <v>#NAME?</v>
      </c>
      <c r="S149" s="2" t="e">
        <f ca="1">_xludf.XLOOKUP(E149,Sales_Reps!$A$4:$A$11,Sales_Reps!$B$4:$B$11,"Not found")</f>
        <v>#NAME?</v>
      </c>
      <c r="T149" s="2" t="e">
        <f ca="1">_xludf.XLOOKUP(E149,Sales_Reps!$A$4:$A$11,Sales_Reps!$C$4:$C$11,"Not found")</f>
        <v>#NAME?</v>
      </c>
      <c r="U149" s="2"/>
      <c r="V149" s="2"/>
      <c r="W149" s="2"/>
      <c r="X149" s="2"/>
      <c r="Y149" s="2"/>
      <c r="Z149" s="2"/>
    </row>
    <row r="150" spans="1:26" ht="15">
      <c r="A150" s="2" t="s">
        <v>454</v>
      </c>
      <c r="B150" s="6">
        <v>46024</v>
      </c>
      <c r="C150" s="2" t="s">
        <v>146</v>
      </c>
      <c r="D150" s="2" t="s">
        <v>254</v>
      </c>
      <c r="E150" s="2" t="s">
        <v>296</v>
      </c>
      <c r="F150" s="2">
        <v>6</v>
      </c>
      <c r="G150" s="4">
        <v>3500</v>
      </c>
      <c r="H150" s="5">
        <v>0</v>
      </c>
      <c r="I150" s="4">
        <v>21000</v>
      </c>
      <c r="J150" s="4">
        <v>11550</v>
      </c>
      <c r="K150" s="2" t="s">
        <v>306</v>
      </c>
      <c r="L150" s="2" t="e">
        <f ca="1">_xludf.XLOOKUP(C150,Customers!$A$4:$A$53,Customers!$B$4:$B$53,"Not found")</f>
        <v>#NAME?</v>
      </c>
      <c r="M150" s="2" t="e">
        <f ca="1">_xludf.XLOOKUP(C150,Customers!$A$4:$A$53,Customers!$C$4:$C$53,"Not found")</f>
        <v>#NAME?</v>
      </c>
      <c r="N150" s="2" t="e">
        <f ca="1">_xludf.XLOOKUP(C150,Customers!$A$4:$A$53,Customers!$D$4:$D$53,"Not found")</f>
        <v>#NAME?</v>
      </c>
      <c r="O150" s="2" t="e">
        <f ca="1">_xludf.XLOOKUP(C150,Customers!$A$4:$A$53,Customers!$E$4:$E$53,"Not found")</f>
        <v>#NAME?</v>
      </c>
      <c r="P150" s="2" t="e">
        <f ca="1">_xludf.XLOOKUP(C150,Customers!$A$4:$A$53,Customers!$F$4:$F$53,"Not found")</f>
        <v>#NAME?</v>
      </c>
      <c r="Q150" s="2" t="e">
        <f ca="1">_xludf.XLOOKUP(D150,Products!$A$4:$A$23,Products!$B$4:$B$23,"Not found")</f>
        <v>#NAME?</v>
      </c>
      <c r="R150" s="2" t="e">
        <f ca="1">_xludf.XLOOKUP(D150,Products!$A$4:$A$23,Products!$C$4:$C$23,"Not found")</f>
        <v>#NAME?</v>
      </c>
      <c r="S150" s="2" t="e">
        <f ca="1">_xludf.XLOOKUP(E150,Sales_Reps!$A$4:$A$11,Sales_Reps!$B$4:$B$11,"Not found")</f>
        <v>#NAME?</v>
      </c>
      <c r="T150" s="2" t="e">
        <f ca="1">_xludf.XLOOKUP(E150,Sales_Reps!$A$4:$A$11,Sales_Reps!$C$4:$C$11,"Not found")</f>
        <v>#NAME?</v>
      </c>
      <c r="U150" s="2"/>
      <c r="V150" s="2"/>
      <c r="W150" s="2"/>
      <c r="X150" s="2"/>
      <c r="Y150" s="2"/>
      <c r="Z150" s="2"/>
    </row>
    <row r="151" spans="1:26">
      <c r="A151" s="2" t="s">
        <v>455</v>
      </c>
      <c r="B151" s="6">
        <v>46030</v>
      </c>
      <c r="C151" s="2" t="s">
        <v>140</v>
      </c>
      <c r="D151" s="2" t="s">
        <v>275</v>
      </c>
      <c r="E151" s="2" t="s">
        <v>290</v>
      </c>
      <c r="F151" s="2">
        <v>3</v>
      </c>
      <c r="G151" s="4">
        <v>450</v>
      </c>
      <c r="H151" s="5">
        <v>0.15</v>
      </c>
      <c r="I151" s="4">
        <v>1147.5</v>
      </c>
      <c r="J151" s="4">
        <v>252.45</v>
      </c>
      <c r="K151" s="2" t="s">
        <v>306</v>
      </c>
      <c r="L151" s="2" t="e">
        <f ca="1">_xludf.XLOOKUP(C151,Customers!$A$4:$A$53,Customers!$B$4:$B$53,"Not found")</f>
        <v>#NAME?</v>
      </c>
      <c r="M151" s="2" t="e">
        <f ca="1">_xludf.XLOOKUP(C151,Customers!$A$4:$A$53,Customers!$C$4:$C$53,"Not found")</f>
        <v>#NAME?</v>
      </c>
      <c r="N151" s="2" t="e">
        <f ca="1">_xludf.XLOOKUP(C151,Customers!$A$4:$A$53,Customers!$D$4:$D$53,"Not found")</f>
        <v>#NAME?</v>
      </c>
      <c r="O151" s="2" t="e">
        <f ca="1">_xludf.XLOOKUP(C151,Customers!$A$4:$A$53,Customers!$E$4:$E$53,"Not found")</f>
        <v>#NAME?</v>
      </c>
      <c r="P151" s="2" t="e">
        <f ca="1">_xludf.XLOOKUP(C151,Customers!$A$4:$A$53,Customers!$F$4:$F$53,"Not found")</f>
        <v>#NAME?</v>
      </c>
      <c r="Q151" s="2" t="e">
        <f ca="1">_xludf.XLOOKUP(D151,Products!$A$4:$A$23,Products!$B$4:$B$23,"Not found")</f>
        <v>#NAME?</v>
      </c>
      <c r="R151" s="2" t="e">
        <f ca="1">_xludf.XLOOKUP(D151,Products!$A$4:$A$23,Products!$C$4:$C$23,"Not found")</f>
        <v>#NAME?</v>
      </c>
      <c r="S151" s="2" t="e">
        <f ca="1">_xludf.XLOOKUP(E151,Sales_Reps!$A$4:$A$11,Sales_Reps!$B$4:$B$11,"Not found")</f>
        <v>#NAME?</v>
      </c>
      <c r="T151" s="2" t="e">
        <f ca="1">_xludf.XLOOKUP(E151,Sales_Reps!$A$4:$A$11,Sales_Reps!$C$4:$C$11,"Not found")</f>
        <v>#NAME?</v>
      </c>
      <c r="U151" s="2"/>
      <c r="V151" s="2"/>
      <c r="W151" s="2"/>
      <c r="X151" s="2"/>
      <c r="Y151" s="2"/>
      <c r="Z151" s="2"/>
    </row>
    <row r="152" spans="1:26" ht="15">
      <c r="A152" s="2" t="s">
        <v>456</v>
      </c>
      <c r="B152" s="6">
        <v>46063</v>
      </c>
      <c r="C152" s="2" t="s">
        <v>225</v>
      </c>
      <c r="D152" s="2" t="s">
        <v>271</v>
      </c>
      <c r="E152" s="2" t="s">
        <v>298</v>
      </c>
      <c r="F152" s="2">
        <v>8</v>
      </c>
      <c r="G152" s="4">
        <v>2800</v>
      </c>
      <c r="H152" s="5">
        <v>0</v>
      </c>
      <c r="I152" s="4">
        <v>22400</v>
      </c>
      <c r="J152" s="4">
        <v>11648</v>
      </c>
      <c r="K152" s="2" t="s">
        <v>306</v>
      </c>
      <c r="L152" s="2" t="e">
        <f ca="1">_xludf.XLOOKUP(C152,Customers!$A$4:$A$53,Customers!$B$4:$B$53,"Not found")</f>
        <v>#NAME?</v>
      </c>
      <c r="M152" s="2" t="e">
        <f ca="1">_xludf.XLOOKUP(C152,Customers!$A$4:$A$53,Customers!$C$4:$C$53,"Not found")</f>
        <v>#NAME?</v>
      </c>
      <c r="N152" s="2" t="e">
        <f ca="1">_xludf.XLOOKUP(C152,Customers!$A$4:$A$53,Customers!$D$4:$D$53,"Not found")</f>
        <v>#NAME?</v>
      </c>
      <c r="O152" s="2" t="e">
        <f ca="1">_xludf.XLOOKUP(C152,Customers!$A$4:$A$53,Customers!$E$4:$E$53,"Not found")</f>
        <v>#NAME?</v>
      </c>
      <c r="P152" s="2" t="e">
        <f ca="1">_xludf.XLOOKUP(C152,Customers!$A$4:$A$53,Customers!$F$4:$F$53,"Not found")</f>
        <v>#NAME?</v>
      </c>
      <c r="Q152" s="2" t="e">
        <f ca="1">_xludf.XLOOKUP(D152,Products!$A$4:$A$23,Products!$B$4:$B$23,"Not found")</f>
        <v>#NAME?</v>
      </c>
      <c r="R152" s="2" t="e">
        <f ca="1">_xludf.XLOOKUP(D152,Products!$A$4:$A$23,Products!$C$4:$C$23,"Not found")</f>
        <v>#NAME?</v>
      </c>
      <c r="S152" s="2" t="e">
        <f ca="1">_xludf.XLOOKUP(E152,Sales_Reps!$A$4:$A$11,Sales_Reps!$B$4:$B$11,"Not found")</f>
        <v>#NAME?</v>
      </c>
      <c r="T152" s="2" t="e">
        <f ca="1">_xludf.XLOOKUP(E152,Sales_Reps!$A$4:$A$11,Sales_Reps!$C$4:$C$11,"Not found")</f>
        <v>#NAME?</v>
      </c>
      <c r="U152" s="2"/>
      <c r="V152" s="2"/>
      <c r="W152" s="2"/>
      <c r="X152" s="2"/>
      <c r="Y152" s="2"/>
      <c r="Z152" s="2"/>
    </row>
    <row r="153" spans="1:26">
      <c r="A153" s="2" t="s">
        <v>457</v>
      </c>
      <c r="B153" s="6">
        <v>46063</v>
      </c>
      <c r="C153" s="2" t="s">
        <v>164</v>
      </c>
      <c r="D153" s="2" t="s">
        <v>259</v>
      </c>
      <c r="E153" s="2" t="s">
        <v>284</v>
      </c>
      <c r="F153" s="2">
        <v>1</v>
      </c>
      <c r="G153" s="4">
        <v>450</v>
      </c>
      <c r="H153" s="5">
        <v>0</v>
      </c>
      <c r="I153" s="4">
        <v>450</v>
      </c>
      <c r="J153" s="4">
        <v>279</v>
      </c>
      <c r="K153" s="2" t="s">
        <v>313</v>
      </c>
      <c r="L153" s="2" t="e">
        <f ca="1">_xludf.XLOOKUP(C153,Customers!$A$4:$A$53,Customers!$B$4:$B$53,"Not found")</f>
        <v>#NAME?</v>
      </c>
      <c r="M153" s="2" t="e">
        <f ca="1">_xludf.XLOOKUP(C153,Customers!$A$4:$A$53,Customers!$C$4:$C$53,"Not found")</f>
        <v>#NAME?</v>
      </c>
      <c r="N153" s="2" t="e">
        <f ca="1">_xludf.XLOOKUP(C153,Customers!$A$4:$A$53,Customers!$D$4:$D$53,"Not found")</f>
        <v>#NAME?</v>
      </c>
      <c r="O153" s="2" t="e">
        <f ca="1">_xludf.XLOOKUP(C153,Customers!$A$4:$A$53,Customers!$E$4:$E$53,"Not found")</f>
        <v>#NAME?</v>
      </c>
      <c r="P153" s="2" t="e">
        <f ca="1">_xludf.XLOOKUP(C153,Customers!$A$4:$A$53,Customers!$F$4:$F$53,"Not found")</f>
        <v>#NAME?</v>
      </c>
      <c r="Q153" s="2" t="e">
        <f ca="1">_xludf.XLOOKUP(D153,Products!$A$4:$A$23,Products!$B$4:$B$23,"Not found")</f>
        <v>#NAME?</v>
      </c>
      <c r="R153" s="2" t="e">
        <f ca="1">_xludf.XLOOKUP(D153,Products!$A$4:$A$23,Products!$C$4:$C$23,"Not found")</f>
        <v>#NAME?</v>
      </c>
      <c r="S153" s="2" t="e">
        <f ca="1">_xludf.XLOOKUP(E153,Sales_Reps!$A$4:$A$11,Sales_Reps!$B$4:$B$11,"Not found")</f>
        <v>#NAME?</v>
      </c>
      <c r="T153" s="2" t="e">
        <f ca="1">_xludf.XLOOKUP(E153,Sales_Reps!$A$4:$A$11,Sales_Reps!$C$4:$C$11,"Not found")</f>
        <v>#NAME?</v>
      </c>
      <c r="U153" s="2"/>
      <c r="V153" s="2"/>
      <c r="W153" s="2"/>
      <c r="X153" s="2"/>
      <c r="Y153" s="2"/>
      <c r="Z153" s="2"/>
    </row>
    <row r="154" spans="1:26">
      <c r="A154" s="2" t="s">
        <v>458</v>
      </c>
      <c r="B154" s="6">
        <v>46136</v>
      </c>
      <c r="C154" s="2" t="s">
        <v>118</v>
      </c>
      <c r="D154" s="2" t="s">
        <v>240</v>
      </c>
      <c r="E154" s="2" t="s">
        <v>292</v>
      </c>
      <c r="F154" s="2">
        <v>8</v>
      </c>
      <c r="G154" s="4">
        <v>300</v>
      </c>
      <c r="H154" s="5">
        <v>0.1</v>
      </c>
      <c r="I154" s="4">
        <v>2160</v>
      </c>
      <c r="J154" s="4">
        <v>648</v>
      </c>
      <c r="K154" s="2" t="s">
        <v>309</v>
      </c>
      <c r="L154" s="2" t="e">
        <f ca="1">_xludf.XLOOKUP(C154,Customers!$A$4:$A$53,Customers!$B$4:$B$53,"Not found")</f>
        <v>#NAME?</v>
      </c>
      <c r="M154" s="2" t="e">
        <f ca="1">_xludf.XLOOKUP(C154,Customers!$A$4:$A$53,Customers!$C$4:$C$53,"Not found")</f>
        <v>#NAME?</v>
      </c>
      <c r="N154" s="2" t="e">
        <f ca="1">_xludf.XLOOKUP(C154,Customers!$A$4:$A$53,Customers!$D$4:$D$53,"Not found")</f>
        <v>#NAME?</v>
      </c>
      <c r="O154" s="2" t="e">
        <f ca="1">_xludf.XLOOKUP(C154,Customers!$A$4:$A$53,Customers!$E$4:$E$53,"Not found")</f>
        <v>#NAME?</v>
      </c>
      <c r="P154" s="2" t="e">
        <f ca="1">_xludf.XLOOKUP(C154,Customers!$A$4:$A$53,Customers!$F$4:$F$53,"Not found")</f>
        <v>#NAME?</v>
      </c>
      <c r="Q154" s="2" t="e">
        <f ca="1">_xludf.XLOOKUP(D154,Products!$A$4:$A$23,Products!$B$4:$B$23,"Not found")</f>
        <v>#NAME?</v>
      </c>
      <c r="R154" s="2" t="e">
        <f ca="1">_xludf.XLOOKUP(D154,Products!$A$4:$A$23,Products!$C$4:$C$23,"Not found")</f>
        <v>#NAME?</v>
      </c>
      <c r="S154" s="2" t="e">
        <f ca="1">_xludf.XLOOKUP(E154,Sales_Reps!$A$4:$A$11,Sales_Reps!$B$4:$B$11,"Not found")</f>
        <v>#NAME?</v>
      </c>
      <c r="T154" s="2" t="e">
        <f ca="1">_xludf.XLOOKUP(E154,Sales_Reps!$A$4:$A$11,Sales_Reps!$C$4:$C$11,"Not found")</f>
        <v>#NAME?</v>
      </c>
      <c r="U154" s="2"/>
      <c r="V154" s="2"/>
      <c r="W154" s="2"/>
      <c r="X154" s="2"/>
      <c r="Y154" s="2"/>
      <c r="Z154" s="2"/>
    </row>
    <row r="155" spans="1:26">
      <c r="A155" s="2" t="s">
        <v>459</v>
      </c>
      <c r="B155" s="6">
        <v>46051</v>
      </c>
      <c r="C155" s="2" t="s">
        <v>160</v>
      </c>
      <c r="D155" s="2" t="s">
        <v>249</v>
      </c>
      <c r="E155" s="2" t="s">
        <v>284</v>
      </c>
      <c r="F155" s="2">
        <v>6</v>
      </c>
      <c r="G155" s="4">
        <v>600</v>
      </c>
      <c r="H155" s="5">
        <v>0.05</v>
      </c>
      <c r="I155" s="4">
        <v>3420</v>
      </c>
      <c r="J155" s="4">
        <v>2223</v>
      </c>
      <c r="K155" s="2" t="s">
        <v>306</v>
      </c>
      <c r="L155" s="2" t="e">
        <f ca="1">_xludf.XLOOKUP(C155,Customers!$A$4:$A$53,Customers!$B$4:$B$53,"Not found")</f>
        <v>#NAME?</v>
      </c>
      <c r="M155" s="2" t="e">
        <f ca="1">_xludf.XLOOKUP(C155,Customers!$A$4:$A$53,Customers!$C$4:$C$53,"Not found")</f>
        <v>#NAME?</v>
      </c>
      <c r="N155" s="2" t="e">
        <f ca="1">_xludf.XLOOKUP(C155,Customers!$A$4:$A$53,Customers!$D$4:$D$53,"Not found")</f>
        <v>#NAME?</v>
      </c>
      <c r="O155" s="2" t="e">
        <f ca="1">_xludf.XLOOKUP(C155,Customers!$A$4:$A$53,Customers!$E$4:$E$53,"Not found")</f>
        <v>#NAME?</v>
      </c>
      <c r="P155" s="2" t="e">
        <f ca="1">_xludf.XLOOKUP(C155,Customers!$A$4:$A$53,Customers!$F$4:$F$53,"Not found")</f>
        <v>#NAME?</v>
      </c>
      <c r="Q155" s="2" t="e">
        <f ca="1">_xludf.XLOOKUP(D155,Products!$A$4:$A$23,Products!$B$4:$B$23,"Not found")</f>
        <v>#NAME?</v>
      </c>
      <c r="R155" s="2" t="e">
        <f ca="1">_xludf.XLOOKUP(D155,Products!$A$4:$A$23,Products!$C$4:$C$23,"Not found")</f>
        <v>#NAME?</v>
      </c>
      <c r="S155" s="2" t="e">
        <f ca="1">_xludf.XLOOKUP(E155,Sales_Reps!$A$4:$A$11,Sales_Reps!$B$4:$B$11,"Not found")</f>
        <v>#NAME?</v>
      </c>
      <c r="T155" s="2" t="e">
        <f ca="1">_xludf.XLOOKUP(E155,Sales_Reps!$A$4:$A$11,Sales_Reps!$C$4:$C$11,"Not found")</f>
        <v>#NAME?</v>
      </c>
      <c r="U155" s="2"/>
      <c r="V155" s="2"/>
      <c r="W155" s="2"/>
      <c r="X155" s="2"/>
      <c r="Y155" s="2"/>
      <c r="Z155" s="2"/>
    </row>
    <row r="156" spans="1:26">
      <c r="A156" s="2" t="s">
        <v>460</v>
      </c>
      <c r="B156" s="6">
        <v>46124</v>
      </c>
      <c r="C156" s="2" t="s">
        <v>217</v>
      </c>
      <c r="D156" s="2" t="s">
        <v>275</v>
      </c>
      <c r="E156" s="2" t="s">
        <v>298</v>
      </c>
      <c r="F156" s="2">
        <v>1</v>
      </c>
      <c r="G156" s="4">
        <v>450</v>
      </c>
      <c r="H156" s="5">
        <v>0</v>
      </c>
      <c r="I156" s="4">
        <v>450</v>
      </c>
      <c r="J156" s="4">
        <v>99</v>
      </c>
      <c r="K156" s="2" t="s">
        <v>313</v>
      </c>
      <c r="L156" s="2" t="e">
        <f ca="1">_xludf.XLOOKUP(C156,Customers!$A$4:$A$53,Customers!$B$4:$B$53,"Not found")</f>
        <v>#NAME?</v>
      </c>
      <c r="M156" s="2" t="e">
        <f ca="1">_xludf.XLOOKUP(C156,Customers!$A$4:$A$53,Customers!$C$4:$C$53,"Not found")</f>
        <v>#NAME?</v>
      </c>
      <c r="N156" s="2" t="e">
        <f ca="1">_xludf.XLOOKUP(C156,Customers!$A$4:$A$53,Customers!$D$4:$D$53,"Not found")</f>
        <v>#NAME?</v>
      </c>
      <c r="O156" s="2" t="e">
        <f ca="1">_xludf.XLOOKUP(C156,Customers!$A$4:$A$53,Customers!$E$4:$E$53,"Not found")</f>
        <v>#NAME?</v>
      </c>
      <c r="P156" s="2" t="e">
        <f ca="1">_xludf.XLOOKUP(C156,Customers!$A$4:$A$53,Customers!$F$4:$F$53,"Not found")</f>
        <v>#NAME?</v>
      </c>
      <c r="Q156" s="2" t="e">
        <f ca="1">_xludf.XLOOKUP(D156,Products!$A$4:$A$23,Products!$B$4:$B$23,"Not found")</f>
        <v>#NAME?</v>
      </c>
      <c r="R156" s="2" t="e">
        <f ca="1">_xludf.XLOOKUP(D156,Products!$A$4:$A$23,Products!$C$4:$C$23,"Not found")</f>
        <v>#NAME?</v>
      </c>
      <c r="S156" s="2" t="e">
        <f ca="1">_xludf.XLOOKUP(E156,Sales_Reps!$A$4:$A$11,Sales_Reps!$B$4:$B$11,"Not found")</f>
        <v>#NAME?</v>
      </c>
      <c r="T156" s="2" t="e">
        <f ca="1">_xludf.XLOOKUP(E156,Sales_Reps!$A$4:$A$11,Sales_Reps!$C$4:$C$11,"Not found")</f>
        <v>#NAME?</v>
      </c>
      <c r="U156" s="2"/>
      <c r="V156" s="2"/>
      <c r="W156" s="2"/>
      <c r="X156" s="2"/>
      <c r="Y156" s="2"/>
      <c r="Z156" s="2"/>
    </row>
    <row r="157" spans="1:26">
      <c r="A157" s="2" t="s">
        <v>461</v>
      </c>
      <c r="B157" s="6">
        <v>46097</v>
      </c>
      <c r="C157" s="2" t="s">
        <v>118</v>
      </c>
      <c r="D157" s="2" t="s">
        <v>70</v>
      </c>
      <c r="E157" s="2" t="s">
        <v>75</v>
      </c>
      <c r="F157" s="2">
        <v>3</v>
      </c>
      <c r="G157" s="4">
        <v>1200</v>
      </c>
      <c r="H157" s="5">
        <v>0</v>
      </c>
      <c r="I157" s="4">
        <v>3600</v>
      </c>
      <c r="J157" s="4">
        <v>1008</v>
      </c>
      <c r="K157" s="2" t="s">
        <v>306</v>
      </c>
      <c r="L157" s="2" t="e">
        <f ca="1">_xludf.XLOOKUP(C157,Customers!$A$4:$A$53,Customers!$B$4:$B$53,"Not found")</f>
        <v>#NAME?</v>
      </c>
      <c r="M157" s="2" t="e">
        <f ca="1">_xludf.XLOOKUP(C157,Customers!$A$4:$A$53,Customers!$C$4:$C$53,"Not found")</f>
        <v>#NAME?</v>
      </c>
      <c r="N157" s="2" t="e">
        <f ca="1">_xludf.XLOOKUP(C157,Customers!$A$4:$A$53,Customers!$D$4:$D$53,"Not found")</f>
        <v>#NAME?</v>
      </c>
      <c r="O157" s="2" t="e">
        <f ca="1">_xludf.XLOOKUP(C157,Customers!$A$4:$A$53,Customers!$E$4:$E$53,"Not found")</f>
        <v>#NAME?</v>
      </c>
      <c r="P157" s="2" t="e">
        <f ca="1">_xludf.XLOOKUP(C157,Customers!$A$4:$A$53,Customers!$F$4:$F$53,"Not found")</f>
        <v>#NAME?</v>
      </c>
      <c r="Q157" s="2" t="e">
        <f ca="1">_xludf.XLOOKUP(D157,Products!$A$4:$A$23,Products!$B$4:$B$23,"Not found")</f>
        <v>#NAME?</v>
      </c>
      <c r="R157" s="2" t="e">
        <f ca="1">_xludf.XLOOKUP(D157,Products!$A$4:$A$23,Products!$C$4:$C$23,"Not found")</f>
        <v>#NAME?</v>
      </c>
      <c r="S157" s="2" t="e">
        <f ca="1">_xludf.XLOOKUP(E157,Sales_Reps!$A$4:$A$11,Sales_Reps!$B$4:$B$11,"Not found")</f>
        <v>#NAME?</v>
      </c>
      <c r="T157" s="2" t="e">
        <f ca="1">_xludf.XLOOKUP(E157,Sales_Reps!$A$4:$A$11,Sales_Reps!$C$4:$C$11,"Not found")</f>
        <v>#NAME?</v>
      </c>
      <c r="U157" s="2"/>
      <c r="V157" s="2"/>
      <c r="W157" s="2"/>
      <c r="X157" s="2"/>
      <c r="Y157" s="2"/>
      <c r="Z157" s="2"/>
    </row>
    <row r="158" spans="1:26">
      <c r="A158" s="2" t="s">
        <v>462</v>
      </c>
      <c r="B158" s="6">
        <v>46120</v>
      </c>
      <c r="C158" s="2" t="s">
        <v>131</v>
      </c>
      <c r="D158" s="2" t="s">
        <v>70</v>
      </c>
      <c r="E158" s="2" t="s">
        <v>296</v>
      </c>
      <c r="F158" s="2">
        <v>3</v>
      </c>
      <c r="G158" s="4">
        <v>1200</v>
      </c>
      <c r="H158" s="5">
        <v>0</v>
      </c>
      <c r="I158" s="4">
        <v>3600</v>
      </c>
      <c r="J158" s="4">
        <v>1008</v>
      </c>
      <c r="K158" s="2" t="s">
        <v>313</v>
      </c>
      <c r="L158" s="2" t="e">
        <f ca="1">_xludf.XLOOKUP(C158,Customers!$A$4:$A$53,Customers!$B$4:$B$53,"Not found")</f>
        <v>#NAME?</v>
      </c>
      <c r="M158" s="2" t="e">
        <f ca="1">_xludf.XLOOKUP(C158,Customers!$A$4:$A$53,Customers!$C$4:$C$53,"Not found")</f>
        <v>#NAME?</v>
      </c>
      <c r="N158" s="2" t="e">
        <f ca="1">_xludf.XLOOKUP(C158,Customers!$A$4:$A$53,Customers!$D$4:$D$53,"Not found")</f>
        <v>#NAME?</v>
      </c>
      <c r="O158" s="2" t="e">
        <f ca="1">_xludf.XLOOKUP(C158,Customers!$A$4:$A$53,Customers!$E$4:$E$53,"Not found")</f>
        <v>#NAME?</v>
      </c>
      <c r="P158" s="2" t="e">
        <f ca="1">_xludf.XLOOKUP(C158,Customers!$A$4:$A$53,Customers!$F$4:$F$53,"Not found")</f>
        <v>#NAME?</v>
      </c>
      <c r="Q158" s="2" t="e">
        <f ca="1">_xludf.XLOOKUP(D158,Products!$A$4:$A$23,Products!$B$4:$B$23,"Not found")</f>
        <v>#NAME?</v>
      </c>
      <c r="R158" s="2" t="e">
        <f ca="1">_xludf.XLOOKUP(D158,Products!$A$4:$A$23,Products!$C$4:$C$23,"Not found")</f>
        <v>#NAME?</v>
      </c>
      <c r="S158" s="2" t="e">
        <f ca="1">_xludf.XLOOKUP(E158,Sales_Reps!$A$4:$A$11,Sales_Reps!$B$4:$B$11,"Not found")</f>
        <v>#NAME?</v>
      </c>
      <c r="T158" s="2" t="e">
        <f ca="1">_xludf.XLOOKUP(E158,Sales_Reps!$A$4:$A$11,Sales_Reps!$C$4:$C$11,"Not found")</f>
        <v>#NAME?</v>
      </c>
      <c r="U158" s="2"/>
      <c r="V158" s="2"/>
      <c r="W158" s="2"/>
      <c r="X158" s="2"/>
      <c r="Y158" s="2"/>
      <c r="Z158" s="2"/>
    </row>
    <row r="159" spans="1:26">
      <c r="A159" s="2" t="s">
        <v>463</v>
      </c>
      <c r="B159" s="6">
        <v>46033</v>
      </c>
      <c r="C159" s="2" t="s">
        <v>221</v>
      </c>
      <c r="D159" s="2" t="s">
        <v>252</v>
      </c>
      <c r="E159" s="2" t="s">
        <v>294</v>
      </c>
      <c r="F159" s="2">
        <v>2</v>
      </c>
      <c r="G159" s="4">
        <v>900</v>
      </c>
      <c r="H159" s="5">
        <v>0.05</v>
      </c>
      <c r="I159" s="4">
        <v>1710</v>
      </c>
      <c r="J159" s="4">
        <v>1197</v>
      </c>
      <c r="K159" s="2" t="s">
        <v>309</v>
      </c>
      <c r="L159" s="2" t="e">
        <f ca="1">_xludf.XLOOKUP(C159,Customers!$A$4:$A$53,Customers!$B$4:$B$53,"Not found")</f>
        <v>#NAME?</v>
      </c>
      <c r="M159" s="2" t="e">
        <f ca="1">_xludf.XLOOKUP(C159,Customers!$A$4:$A$53,Customers!$C$4:$C$53,"Not found")</f>
        <v>#NAME?</v>
      </c>
      <c r="N159" s="2" t="e">
        <f ca="1">_xludf.XLOOKUP(C159,Customers!$A$4:$A$53,Customers!$D$4:$D$53,"Not found")</f>
        <v>#NAME?</v>
      </c>
      <c r="O159" s="2" t="e">
        <f ca="1">_xludf.XLOOKUP(C159,Customers!$A$4:$A$53,Customers!$E$4:$E$53,"Not found")</f>
        <v>#NAME?</v>
      </c>
      <c r="P159" s="2" t="e">
        <f ca="1">_xludf.XLOOKUP(C159,Customers!$A$4:$A$53,Customers!$F$4:$F$53,"Not found")</f>
        <v>#NAME?</v>
      </c>
      <c r="Q159" s="2" t="e">
        <f ca="1">_xludf.XLOOKUP(D159,Products!$A$4:$A$23,Products!$B$4:$B$23,"Not found")</f>
        <v>#NAME?</v>
      </c>
      <c r="R159" s="2" t="e">
        <f ca="1">_xludf.XLOOKUP(D159,Products!$A$4:$A$23,Products!$C$4:$C$23,"Not found")</f>
        <v>#NAME?</v>
      </c>
      <c r="S159" s="2" t="e">
        <f ca="1">_xludf.XLOOKUP(E159,Sales_Reps!$A$4:$A$11,Sales_Reps!$B$4:$B$11,"Not found")</f>
        <v>#NAME?</v>
      </c>
      <c r="T159" s="2" t="e">
        <f ca="1">_xludf.XLOOKUP(E159,Sales_Reps!$A$4:$A$11,Sales_Reps!$C$4:$C$11,"Not found")</f>
        <v>#NAME?</v>
      </c>
      <c r="U159" s="2"/>
      <c r="V159" s="2"/>
      <c r="W159" s="2"/>
      <c r="X159" s="2"/>
      <c r="Y159" s="2"/>
      <c r="Z159" s="2"/>
    </row>
    <row r="160" spans="1:26">
      <c r="A160" s="2" t="s">
        <v>464</v>
      </c>
      <c r="B160" s="6">
        <v>46126</v>
      </c>
      <c r="C160" s="2" t="s">
        <v>108</v>
      </c>
      <c r="D160" s="2" t="s">
        <v>267</v>
      </c>
      <c r="E160" s="2" t="s">
        <v>294</v>
      </c>
      <c r="F160" s="2">
        <v>7</v>
      </c>
      <c r="G160" s="4">
        <v>120</v>
      </c>
      <c r="H160" s="5">
        <v>0.1</v>
      </c>
      <c r="I160" s="4">
        <v>756</v>
      </c>
      <c r="J160" s="4">
        <v>287.27999999999997</v>
      </c>
      <c r="K160" s="2" t="s">
        <v>309</v>
      </c>
      <c r="L160" s="2" t="e">
        <f ca="1">_xludf.XLOOKUP(C160,Customers!$A$4:$A$53,Customers!$B$4:$B$53,"Not found")</f>
        <v>#NAME?</v>
      </c>
      <c r="M160" s="2" t="e">
        <f ca="1">_xludf.XLOOKUP(C160,Customers!$A$4:$A$53,Customers!$C$4:$C$53,"Not found")</f>
        <v>#NAME?</v>
      </c>
      <c r="N160" s="2" t="e">
        <f ca="1">_xludf.XLOOKUP(C160,Customers!$A$4:$A$53,Customers!$D$4:$D$53,"Not found")</f>
        <v>#NAME?</v>
      </c>
      <c r="O160" s="2" t="e">
        <f ca="1">_xludf.XLOOKUP(C160,Customers!$A$4:$A$53,Customers!$E$4:$E$53,"Not found")</f>
        <v>#NAME?</v>
      </c>
      <c r="P160" s="2" t="e">
        <f ca="1">_xludf.XLOOKUP(C160,Customers!$A$4:$A$53,Customers!$F$4:$F$53,"Not found")</f>
        <v>#NAME?</v>
      </c>
      <c r="Q160" s="2" t="e">
        <f ca="1">_xludf.XLOOKUP(D160,Products!$A$4:$A$23,Products!$B$4:$B$23,"Not found")</f>
        <v>#NAME?</v>
      </c>
      <c r="R160" s="2" t="e">
        <f ca="1">_xludf.XLOOKUP(D160,Products!$A$4:$A$23,Products!$C$4:$C$23,"Not found")</f>
        <v>#NAME?</v>
      </c>
      <c r="S160" s="2" t="e">
        <f ca="1">_xludf.XLOOKUP(E160,Sales_Reps!$A$4:$A$11,Sales_Reps!$B$4:$B$11,"Not found")</f>
        <v>#NAME?</v>
      </c>
      <c r="T160" s="2" t="e">
        <f ca="1">_xludf.XLOOKUP(E160,Sales_Reps!$A$4:$A$11,Sales_Reps!$C$4:$C$11,"Not found")</f>
        <v>#NAME?</v>
      </c>
      <c r="U160" s="2"/>
      <c r="V160" s="2"/>
      <c r="W160" s="2"/>
      <c r="X160" s="2"/>
      <c r="Y160" s="2"/>
      <c r="Z160" s="2"/>
    </row>
    <row r="161" spans="1:26">
      <c r="A161" s="2" t="s">
        <v>465</v>
      </c>
      <c r="B161" s="6">
        <v>46140</v>
      </c>
      <c r="C161" s="2" t="s">
        <v>162</v>
      </c>
      <c r="D161" s="2" t="s">
        <v>242</v>
      </c>
      <c r="E161" s="2" t="s">
        <v>294</v>
      </c>
      <c r="F161" s="2">
        <v>3</v>
      </c>
      <c r="G161" s="4">
        <v>70</v>
      </c>
      <c r="H161" s="5">
        <v>0.1</v>
      </c>
      <c r="I161" s="4">
        <v>189</v>
      </c>
      <c r="J161" s="4">
        <v>75.599999999999994</v>
      </c>
      <c r="K161" s="2" t="s">
        <v>306</v>
      </c>
      <c r="L161" s="2" t="e">
        <f ca="1">_xludf.XLOOKUP(C161,Customers!$A$4:$A$53,Customers!$B$4:$B$53,"Not found")</f>
        <v>#NAME?</v>
      </c>
      <c r="M161" s="2" t="e">
        <f ca="1">_xludf.XLOOKUP(C161,Customers!$A$4:$A$53,Customers!$C$4:$C$53,"Not found")</f>
        <v>#NAME?</v>
      </c>
      <c r="N161" s="2" t="e">
        <f ca="1">_xludf.XLOOKUP(C161,Customers!$A$4:$A$53,Customers!$D$4:$D$53,"Not found")</f>
        <v>#NAME?</v>
      </c>
      <c r="O161" s="2" t="e">
        <f ca="1">_xludf.XLOOKUP(C161,Customers!$A$4:$A$53,Customers!$E$4:$E$53,"Not found")</f>
        <v>#NAME?</v>
      </c>
      <c r="P161" s="2" t="e">
        <f ca="1">_xludf.XLOOKUP(C161,Customers!$A$4:$A$53,Customers!$F$4:$F$53,"Not found")</f>
        <v>#NAME?</v>
      </c>
      <c r="Q161" s="2" t="e">
        <f ca="1">_xludf.XLOOKUP(D161,Products!$A$4:$A$23,Products!$B$4:$B$23,"Not found")</f>
        <v>#NAME?</v>
      </c>
      <c r="R161" s="2" t="e">
        <f ca="1">_xludf.XLOOKUP(D161,Products!$A$4:$A$23,Products!$C$4:$C$23,"Not found")</f>
        <v>#NAME?</v>
      </c>
      <c r="S161" s="2" t="e">
        <f ca="1">_xludf.XLOOKUP(E161,Sales_Reps!$A$4:$A$11,Sales_Reps!$B$4:$B$11,"Not found")</f>
        <v>#NAME?</v>
      </c>
      <c r="T161" s="2" t="e">
        <f ca="1">_xludf.XLOOKUP(E161,Sales_Reps!$A$4:$A$11,Sales_Reps!$C$4:$C$11,"Not found")</f>
        <v>#NAME?</v>
      </c>
      <c r="U161" s="2"/>
      <c r="V161" s="2"/>
      <c r="W161" s="2"/>
      <c r="X161" s="2"/>
      <c r="Y161" s="2"/>
      <c r="Z161" s="2"/>
    </row>
    <row r="162" spans="1:26">
      <c r="A162" s="2" t="s">
        <v>466</v>
      </c>
      <c r="B162" s="6">
        <v>46125</v>
      </c>
      <c r="C162" s="2" t="s">
        <v>125</v>
      </c>
      <c r="D162" s="2" t="s">
        <v>265</v>
      </c>
      <c r="E162" s="2" t="s">
        <v>290</v>
      </c>
      <c r="F162" s="2">
        <v>7</v>
      </c>
      <c r="G162" s="4">
        <v>650</v>
      </c>
      <c r="H162" s="5">
        <v>0.1</v>
      </c>
      <c r="I162" s="4">
        <v>4095</v>
      </c>
      <c r="J162" s="4">
        <v>1310.4000000000001</v>
      </c>
      <c r="K162" s="2" t="s">
        <v>313</v>
      </c>
      <c r="L162" s="2" t="e">
        <f ca="1">_xludf.XLOOKUP(C162,Customers!$A$4:$A$53,Customers!$B$4:$B$53,"Not found")</f>
        <v>#NAME?</v>
      </c>
      <c r="M162" s="2" t="e">
        <f ca="1">_xludf.XLOOKUP(C162,Customers!$A$4:$A$53,Customers!$C$4:$C$53,"Not found")</f>
        <v>#NAME?</v>
      </c>
      <c r="N162" s="2" t="e">
        <f ca="1">_xludf.XLOOKUP(C162,Customers!$A$4:$A$53,Customers!$D$4:$D$53,"Not found")</f>
        <v>#NAME?</v>
      </c>
      <c r="O162" s="2" t="e">
        <f ca="1">_xludf.XLOOKUP(C162,Customers!$A$4:$A$53,Customers!$E$4:$E$53,"Not found")</f>
        <v>#NAME?</v>
      </c>
      <c r="P162" s="2" t="e">
        <f ca="1">_xludf.XLOOKUP(C162,Customers!$A$4:$A$53,Customers!$F$4:$F$53,"Not found")</f>
        <v>#NAME?</v>
      </c>
      <c r="Q162" s="2" t="e">
        <f ca="1">_xludf.XLOOKUP(D162,Products!$A$4:$A$23,Products!$B$4:$B$23,"Not found")</f>
        <v>#NAME?</v>
      </c>
      <c r="R162" s="2" t="e">
        <f ca="1">_xludf.XLOOKUP(D162,Products!$A$4:$A$23,Products!$C$4:$C$23,"Not found")</f>
        <v>#NAME?</v>
      </c>
      <c r="S162" s="2" t="e">
        <f ca="1">_xludf.XLOOKUP(E162,Sales_Reps!$A$4:$A$11,Sales_Reps!$B$4:$B$11,"Not found")</f>
        <v>#NAME?</v>
      </c>
      <c r="T162" s="2" t="e">
        <f ca="1">_xludf.XLOOKUP(E162,Sales_Reps!$A$4:$A$11,Sales_Reps!$C$4:$C$11,"Not found")</f>
        <v>#NAME?</v>
      </c>
      <c r="U162" s="2"/>
      <c r="V162" s="2"/>
      <c r="W162" s="2"/>
      <c r="X162" s="2"/>
      <c r="Y162" s="2"/>
      <c r="Z162" s="2"/>
    </row>
    <row r="163" spans="1:26">
      <c r="A163" s="2" t="s">
        <v>467</v>
      </c>
      <c r="B163" s="6">
        <v>46066</v>
      </c>
      <c r="C163" s="2" t="s">
        <v>125</v>
      </c>
      <c r="D163" s="2" t="s">
        <v>263</v>
      </c>
      <c r="E163" s="2" t="s">
        <v>294</v>
      </c>
      <c r="F163" s="2">
        <v>4</v>
      </c>
      <c r="G163" s="4">
        <v>800</v>
      </c>
      <c r="H163" s="5">
        <v>0</v>
      </c>
      <c r="I163" s="4">
        <v>3200</v>
      </c>
      <c r="J163" s="4">
        <v>864</v>
      </c>
      <c r="K163" s="2" t="s">
        <v>306</v>
      </c>
      <c r="L163" s="2" t="e">
        <f ca="1">_xludf.XLOOKUP(C163,Customers!$A$4:$A$53,Customers!$B$4:$B$53,"Not found")</f>
        <v>#NAME?</v>
      </c>
      <c r="M163" s="2" t="e">
        <f ca="1">_xludf.XLOOKUP(C163,Customers!$A$4:$A$53,Customers!$C$4:$C$53,"Not found")</f>
        <v>#NAME?</v>
      </c>
      <c r="N163" s="2" t="e">
        <f ca="1">_xludf.XLOOKUP(C163,Customers!$A$4:$A$53,Customers!$D$4:$D$53,"Not found")</f>
        <v>#NAME?</v>
      </c>
      <c r="O163" s="2" t="e">
        <f ca="1">_xludf.XLOOKUP(C163,Customers!$A$4:$A$53,Customers!$E$4:$E$53,"Not found")</f>
        <v>#NAME?</v>
      </c>
      <c r="P163" s="2" t="e">
        <f ca="1">_xludf.XLOOKUP(C163,Customers!$A$4:$A$53,Customers!$F$4:$F$53,"Not found")</f>
        <v>#NAME?</v>
      </c>
      <c r="Q163" s="2" t="e">
        <f ca="1">_xludf.XLOOKUP(D163,Products!$A$4:$A$23,Products!$B$4:$B$23,"Not found")</f>
        <v>#NAME?</v>
      </c>
      <c r="R163" s="2" t="e">
        <f ca="1">_xludf.XLOOKUP(D163,Products!$A$4:$A$23,Products!$C$4:$C$23,"Not found")</f>
        <v>#NAME?</v>
      </c>
      <c r="S163" s="2" t="e">
        <f ca="1">_xludf.XLOOKUP(E163,Sales_Reps!$A$4:$A$11,Sales_Reps!$B$4:$B$11,"Not found")</f>
        <v>#NAME?</v>
      </c>
      <c r="T163" s="2" t="e">
        <f ca="1">_xludf.XLOOKUP(E163,Sales_Reps!$A$4:$A$11,Sales_Reps!$C$4:$C$11,"Not found")</f>
        <v>#NAME?</v>
      </c>
      <c r="U163" s="2"/>
      <c r="V163" s="2"/>
      <c r="W163" s="2"/>
      <c r="X163" s="2"/>
      <c r="Y163" s="2"/>
      <c r="Z163" s="2"/>
    </row>
    <row r="164" spans="1:26">
      <c r="A164" s="2" t="s">
        <v>468</v>
      </c>
      <c r="B164" s="6">
        <v>46060</v>
      </c>
      <c r="C164" s="2" t="s">
        <v>193</v>
      </c>
      <c r="D164" s="2" t="s">
        <v>242</v>
      </c>
      <c r="E164" s="2" t="s">
        <v>290</v>
      </c>
      <c r="F164" s="2">
        <v>6</v>
      </c>
      <c r="G164" s="4">
        <v>70</v>
      </c>
      <c r="H164" s="5">
        <v>0</v>
      </c>
      <c r="I164" s="4">
        <v>420</v>
      </c>
      <c r="J164" s="4">
        <v>168</v>
      </c>
      <c r="K164" s="2" t="s">
        <v>306</v>
      </c>
      <c r="L164" s="2" t="e">
        <f ca="1">_xludf.XLOOKUP(C164,Customers!$A$4:$A$53,Customers!$B$4:$B$53,"Not found")</f>
        <v>#NAME?</v>
      </c>
      <c r="M164" s="2" t="e">
        <f ca="1">_xludf.XLOOKUP(C164,Customers!$A$4:$A$53,Customers!$C$4:$C$53,"Not found")</f>
        <v>#NAME?</v>
      </c>
      <c r="N164" s="2" t="e">
        <f ca="1">_xludf.XLOOKUP(C164,Customers!$A$4:$A$53,Customers!$D$4:$D$53,"Not found")</f>
        <v>#NAME?</v>
      </c>
      <c r="O164" s="2" t="e">
        <f ca="1">_xludf.XLOOKUP(C164,Customers!$A$4:$A$53,Customers!$E$4:$E$53,"Not found")</f>
        <v>#NAME?</v>
      </c>
      <c r="P164" s="2" t="e">
        <f ca="1">_xludf.XLOOKUP(C164,Customers!$A$4:$A$53,Customers!$F$4:$F$53,"Not found")</f>
        <v>#NAME?</v>
      </c>
      <c r="Q164" s="2" t="e">
        <f ca="1">_xludf.XLOOKUP(D164,Products!$A$4:$A$23,Products!$B$4:$B$23,"Not found")</f>
        <v>#NAME?</v>
      </c>
      <c r="R164" s="2" t="e">
        <f ca="1">_xludf.XLOOKUP(D164,Products!$A$4:$A$23,Products!$C$4:$C$23,"Not found")</f>
        <v>#NAME?</v>
      </c>
      <c r="S164" s="2" t="e">
        <f ca="1">_xludf.XLOOKUP(E164,Sales_Reps!$A$4:$A$11,Sales_Reps!$B$4:$B$11,"Not found")</f>
        <v>#NAME?</v>
      </c>
      <c r="T164" s="2" t="e">
        <f ca="1">_xludf.XLOOKUP(E164,Sales_Reps!$A$4:$A$11,Sales_Reps!$C$4:$C$11,"Not found")</f>
        <v>#NAME?</v>
      </c>
      <c r="U164" s="2"/>
      <c r="V164" s="2"/>
      <c r="W164" s="2"/>
      <c r="X164" s="2"/>
      <c r="Y164" s="2"/>
      <c r="Z164" s="2"/>
    </row>
    <row r="165" spans="1:26">
      <c r="A165" s="2" t="s">
        <v>469</v>
      </c>
      <c r="B165" s="6">
        <v>46042</v>
      </c>
      <c r="C165" s="2" t="s">
        <v>128</v>
      </c>
      <c r="D165" s="2" t="s">
        <v>245</v>
      </c>
      <c r="E165" s="2" t="s">
        <v>284</v>
      </c>
      <c r="F165" s="2">
        <v>3</v>
      </c>
      <c r="G165" s="4">
        <v>35</v>
      </c>
      <c r="H165" s="5">
        <v>0.15</v>
      </c>
      <c r="I165" s="4">
        <v>89.25</v>
      </c>
      <c r="J165" s="4">
        <v>37.479999999999997</v>
      </c>
      <c r="K165" s="2" t="s">
        <v>306</v>
      </c>
      <c r="L165" s="2" t="e">
        <f ca="1">_xludf.XLOOKUP(C165,Customers!$A$4:$A$53,Customers!$B$4:$B$53,"Not found")</f>
        <v>#NAME?</v>
      </c>
      <c r="M165" s="2" t="e">
        <f ca="1">_xludf.XLOOKUP(C165,Customers!$A$4:$A$53,Customers!$C$4:$C$53,"Not found")</f>
        <v>#NAME?</v>
      </c>
      <c r="N165" s="2" t="e">
        <f ca="1">_xludf.XLOOKUP(C165,Customers!$A$4:$A$53,Customers!$D$4:$D$53,"Not found")</f>
        <v>#NAME?</v>
      </c>
      <c r="O165" s="2" t="e">
        <f ca="1">_xludf.XLOOKUP(C165,Customers!$A$4:$A$53,Customers!$E$4:$E$53,"Not found")</f>
        <v>#NAME?</v>
      </c>
      <c r="P165" s="2" t="e">
        <f ca="1">_xludf.XLOOKUP(C165,Customers!$A$4:$A$53,Customers!$F$4:$F$53,"Not found")</f>
        <v>#NAME?</v>
      </c>
      <c r="Q165" s="2" t="e">
        <f ca="1">_xludf.XLOOKUP(D165,Products!$A$4:$A$23,Products!$B$4:$B$23,"Not found")</f>
        <v>#NAME?</v>
      </c>
      <c r="R165" s="2" t="e">
        <f ca="1">_xludf.XLOOKUP(D165,Products!$A$4:$A$23,Products!$C$4:$C$23,"Not found")</f>
        <v>#NAME?</v>
      </c>
      <c r="S165" s="2" t="e">
        <f ca="1">_xludf.XLOOKUP(E165,Sales_Reps!$A$4:$A$11,Sales_Reps!$B$4:$B$11,"Not found")</f>
        <v>#NAME?</v>
      </c>
      <c r="T165" s="2" t="e">
        <f ca="1">_xludf.XLOOKUP(E165,Sales_Reps!$A$4:$A$11,Sales_Reps!$C$4:$C$11,"Not found")</f>
        <v>#NAME?</v>
      </c>
      <c r="U165" s="2"/>
      <c r="V165" s="2"/>
      <c r="W165" s="2"/>
      <c r="X165" s="2"/>
      <c r="Y165" s="2"/>
      <c r="Z165" s="2"/>
    </row>
    <row r="166" spans="1:26" ht="15">
      <c r="A166" s="2" t="s">
        <v>470</v>
      </c>
      <c r="B166" s="6">
        <v>46103</v>
      </c>
      <c r="C166" s="2" t="s">
        <v>229</v>
      </c>
      <c r="D166" s="2" t="s">
        <v>269</v>
      </c>
      <c r="E166" s="2" t="s">
        <v>294</v>
      </c>
      <c r="F166" s="2">
        <v>6</v>
      </c>
      <c r="G166" s="4">
        <v>1100</v>
      </c>
      <c r="H166" s="5">
        <v>0.15</v>
      </c>
      <c r="I166" s="4">
        <v>5610</v>
      </c>
      <c r="J166" s="4">
        <v>3814.8</v>
      </c>
      <c r="K166" s="2" t="s">
        <v>306</v>
      </c>
      <c r="L166" s="2" t="e">
        <f ca="1">_xludf.XLOOKUP(C166,Customers!$A$4:$A$53,Customers!$B$4:$B$53,"Not found")</f>
        <v>#NAME?</v>
      </c>
      <c r="M166" s="2" t="e">
        <f ca="1">_xludf.XLOOKUP(C166,Customers!$A$4:$A$53,Customers!$C$4:$C$53,"Not found")</f>
        <v>#NAME?</v>
      </c>
      <c r="N166" s="2" t="e">
        <f ca="1">_xludf.XLOOKUP(C166,Customers!$A$4:$A$53,Customers!$D$4:$D$53,"Not found")</f>
        <v>#NAME?</v>
      </c>
      <c r="O166" s="2" t="e">
        <f ca="1">_xludf.XLOOKUP(C166,Customers!$A$4:$A$53,Customers!$E$4:$E$53,"Not found")</f>
        <v>#NAME?</v>
      </c>
      <c r="P166" s="2" t="e">
        <f ca="1">_xludf.XLOOKUP(C166,Customers!$A$4:$A$53,Customers!$F$4:$F$53,"Not found")</f>
        <v>#NAME?</v>
      </c>
      <c r="Q166" s="2" t="e">
        <f ca="1">_xludf.XLOOKUP(D166,Products!$A$4:$A$23,Products!$B$4:$B$23,"Not found")</f>
        <v>#NAME?</v>
      </c>
      <c r="R166" s="2" t="e">
        <f ca="1">_xludf.XLOOKUP(D166,Products!$A$4:$A$23,Products!$C$4:$C$23,"Not found")</f>
        <v>#NAME?</v>
      </c>
      <c r="S166" s="2" t="e">
        <f ca="1">_xludf.XLOOKUP(E166,Sales_Reps!$A$4:$A$11,Sales_Reps!$B$4:$B$11,"Not found")</f>
        <v>#NAME?</v>
      </c>
      <c r="T166" s="2" t="e">
        <f ca="1">_xludf.XLOOKUP(E166,Sales_Reps!$A$4:$A$11,Sales_Reps!$C$4:$C$11,"Not found")</f>
        <v>#NAME?</v>
      </c>
      <c r="U166" s="2"/>
      <c r="V166" s="2"/>
      <c r="W166" s="2"/>
      <c r="X166" s="2"/>
      <c r="Y166" s="2"/>
      <c r="Z166" s="2"/>
    </row>
    <row r="167" spans="1:26">
      <c r="A167" s="2" t="s">
        <v>471</v>
      </c>
      <c r="B167" s="6">
        <v>46037</v>
      </c>
      <c r="C167" s="2" t="s">
        <v>184</v>
      </c>
      <c r="D167" s="2" t="s">
        <v>240</v>
      </c>
      <c r="E167" s="2" t="s">
        <v>294</v>
      </c>
      <c r="F167" s="2">
        <v>5</v>
      </c>
      <c r="G167" s="4">
        <v>300</v>
      </c>
      <c r="H167" s="5">
        <v>0.1</v>
      </c>
      <c r="I167" s="4">
        <v>1350</v>
      </c>
      <c r="J167" s="4">
        <v>405</v>
      </c>
      <c r="K167" s="2" t="s">
        <v>306</v>
      </c>
      <c r="L167" s="2" t="e">
        <f ca="1">_xludf.XLOOKUP(C167,Customers!$A$4:$A$53,Customers!$B$4:$B$53,"Not found")</f>
        <v>#NAME?</v>
      </c>
      <c r="M167" s="2" t="e">
        <f ca="1">_xludf.XLOOKUP(C167,Customers!$A$4:$A$53,Customers!$C$4:$C$53,"Not found")</f>
        <v>#NAME?</v>
      </c>
      <c r="N167" s="2" t="e">
        <f ca="1">_xludf.XLOOKUP(C167,Customers!$A$4:$A$53,Customers!$D$4:$D$53,"Not found")</f>
        <v>#NAME?</v>
      </c>
      <c r="O167" s="2" t="e">
        <f ca="1">_xludf.XLOOKUP(C167,Customers!$A$4:$A$53,Customers!$E$4:$E$53,"Not found")</f>
        <v>#NAME?</v>
      </c>
      <c r="P167" s="2" t="e">
        <f ca="1">_xludf.XLOOKUP(C167,Customers!$A$4:$A$53,Customers!$F$4:$F$53,"Not found")</f>
        <v>#NAME?</v>
      </c>
      <c r="Q167" s="2" t="e">
        <f ca="1">_xludf.XLOOKUP(D167,Products!$A$4:$A$23,Products!$B$4:$B$23,"Not found")</f>
        <v>#NAME?</v>
      </c>
      <c r="R167" s="2" t="e">
        <f ca="1">_xludf.XLOOKUP(D167,Products!$A$4:$A$23,Products!$C$4:$C$23,"Not found")</f>
        <v>#NAME?</v>
      </c>
      <c r="S167" s="2" t="e">
        <f ca="1">_xludf.XLOOKUP(E167,Sales_Reps!$A$4:$A$11,Sales_Reps!$B$4:$B$11,"Not found")</f>
        <v>#NAME?</v>
      </c>
      <c r="T167" s="2" t="e">
        <f ca="1">_xludf.XLOOKUP(E167,Sales_Reps!$A$4:$A$11,Sales_Reps!$C$4:$C$11,"Not found")</f>
        <v>#NAME?</v>
      </c>
      <c r="U167" s="2"/>
      <c r="V167" s="2"/>
      <c r="W167" s="2"/>
      <c r="X167" s="2"/>
      <c r="Y167" s="2"/>
      <c r="Z167" s="2"/>
    </row>
    <row r="168" spans="1:26">
      <c r="A168" s="2" t="s">
        <v>472</v>
      </c>
      <c r="B168" s="6">
        <v>46117</v>
      </c>
      <c r="C168" s="2" t="s">
        <v>193</v>
      </c>
      <c r="D168" s="2" t="s">
        <v>240</v>
      </c>
      <c r="E168" s="2" t="s">
        <v>298</v>
      </c>
      <c r="F168" s="2">
        <v>1</v>
      </c>
      <c r="G168" s="4">
        <v>300</v>
      </c>
      <c r="H168" s="5">
        <v>0</v>
      </c>
      <c r="I168" s="4">
        <v>300</v>
      </c>
      <c r="J168" s="4">
        <v>90</v>
      </c>
      <c r="K168" s="2" t="s">
        <v>306</v>
      </c>
      <c r="L168" s="2" t="e">
        <f ca="1">_xludf.XLOOKUP(C168,Customers!$A$4:$A$53,Customers!$B$4:$B$53,"Not found")</f>
        <v>#NAME?</v>
      </c>
      <c r="M168" s="2" t="e">
        <f ca="1">_xludf.XLOOKUP(C168,Customers!$A$4:$A$53,Customers!$C$4:$C$53,"Not found")</f>
        <v>#NAME?</v>
      </c>
      <c r="N168" s="2" t="e">
        <f ca="1">_xludf.XLOOKUP(C168,Customers!$A$4:$A$53,Customers!$D$4:$D$53,"Not found")</f>
        <v>#NAME?</v>
      </c>
      <c r="O168" s="2" t="e">
        <f ca="1">_xludf.XLOOKUP(C168,Customers!$A$4:$A$53,Customers!$E$4:$E$53,"Not found")</f>
        <v>#NAME?</v>
      </c>
      <c r="P168" s="2" t="e">
        <f ca="1">_xludf.XLOOKUP(C168,Customers!$A$4:$A$53,Customers!$F$4:$F$53,"Not found")</f>
        <v>#NAME?</v>
      </c>
      <c r="Q168" s="2" t="e">
        <f ca="1">_xludf.XLOOKUP(D168,Products!$A$4:$A$23,Products!$B$4:$B$23,"Not found")</f>
        <v>#NAME?</v>
      </c>
      <c r="R168" s="2" t="e">
        <f ca="1">_xludf.XLOOKUP(D168,Products!$A$4:$A$23,Products!$C$4:$C$23,"Not found")</f>
        <v>#NAME?</v>
      </c>
      <c r="S168" s="2" t="e">
        <f ca="1">_xludf.XLOOKUP(E168,Sales_Reps!$A$4:$A$11,Sales_Reps!$B$4:$B$11,"Not found")</f>
        <v>#NAME?</v>
      </c>
      <c r="T168" s="2" t="e">
        <f ca="1">_xludf.XLOOKUP(E168,Sales_Reps!$A$4:$A$11,Sales_Reps!$C$4:$C$11,"Not found")</f>
        <v>#NAME?</v>
      </c>
      <c r="U168" s="2"/>
      <c r="V168" s="2"/>
      <c r="W168" s="2"/>
      <c r="X168" s="2"/>
      <c r="Y168" s="2"/>
      <c r="Z168" s="2"/>
    </row>
    <row r="169" spans="1:26">
      <c r="A169" s="2" t="s">
        <v>473</v>
      </c>
      <c r="B169" s="6">
        <v>46164</v>
      </c>
      <c r="C169" s="2" t="s">
        <v>122</v>
      </c>
      <c r="D169" s="2" t="s">
        <v>240</v>
      </c>
      <c r="E169" s="2" t="s">
        <v>292</v>
      </c>
      <c r="F169" s="2">
        <v>8</v>
      </c>
      <c r="G169" s="4">
        <v>300</v>
      </c>
      <c r="H169" s="5">
        <v>0.1</v>
      </c>
      <c r="I169" s="4">
        <v>2160</v>
      </c>
      <c r="J169" s="4">
        <v>648</v>
      </c>
      <c r="K169" s="2" t="s">
        <v>306</v>
      </c>
      <c r="L169" s="2" t="e">
        <f ca="1">_xludf.XLOOKUP(C169,Customers!$A$4:$A$53,Customers!$B$4:$B$53,"Not found")</f>
        <v>#NAME?</v>
      </c>
      <c r="M169" s="2" t="e">
        <f ca="1">_xludf.XLOOKUP(C169,Customers!$A$4:$A$53,Customers!$C$4:$C$53,"Not found")</f>
        <v>#NAME?</v>
      </c>
      <c r="N169" s="2" t="e">
        <f ca="1">_xludf.XLOOKUP(C169,Customers!$A$4:$A$53,Customers!$D$4:$D$53,"Not found")</f>
        <v>#NAME?</v>
      </c>
      <c r="O169" s="2" t="e">
        <f ca="1">_xludf.XLOOKUP(C169,Customers!$A$4:$A$53,Customers!$E$4:$E$53,"Not found")</f>
        <v>#NAME?</v>
      </c>
      <c r="P169" s="2" t="e">
        <f ca="1">_xludf.XLOOKUP(C169,Customers!$A$4:$A$53,Customers!$F$4:$F$53,"Not found")</f>
        <v>#NAME?</v>
      </c>
      <c r="Q169" s="2" t="e">
        <f ca="1">_xludf.XLOOKUP(D169,Products!$A$4:$A$23,Products!$B$4:$B$23,"Not found")</f>
        <v>#NAME?</v>
      </c>
      <c r="R169" s="2" t="e">
        <f ca="1">_xludf.XLOOKUP(D169,Products!$A$4:$A$23,Products!$C$4:$C$23,"Not found")</f>
        <v>#NAME?</v>
      </c>
      <c r="S169" s="2" t="e">
        <f ca="1">_xludf.XLOOKUP(E169,Sales_Reps!$A$4:$A$11,Sales_Reps!$B$4:$B$11,"Not found")</f>
        <v>#NAME?</v>
      </c>
      <c r="T169" s="2" t="e">
        <f ca="1">_xludf.XLOOKUP(E169,Sales_Reps!$A$4:$A$11,Sales_Reps!$C$4:$C$11,"Not found")</f>
        <v>#NAME?</v>
      </c>
      <c r="U169" s="2"/>
      <c r="V169" s="2"/>
      <c r="W169" s="2"/>
      <c r="X169" s="2"/>
      <c r="Y169" s="2"/>
      <c r="Z169" s="2"/>
    </row>
    <row r="170" spans="1:26">
      <c r="A170" s="2" t="s">
        <v>474</v>
      </c>
      <c r="B170" s="6">
        <v>46061</v>
      </c>
      <c r="C170" s="2" t="s">
        <v>184</v>
      </c>
      <c r="D170" s="2" t="s">
        <v>275</v>
      </c>
      <c r="E170" s="2" t="s">
        <v>294</v>
      </c>
      <c r="F170" s="2">
        <v>8</v>
      </c>
      <c r="G170" s="4">
        <v>450</v>
      </c>
      <c r="H170" s="5">
        <v>0.1</v>
      </c>
      <c r="I170" s="4">
        <v>3240</v>
      </c>
      <c r="J170" s="4">
        <v>712.8</v>
      </c>
      <c r="K170" s="2" t="s">
        <v>306</v>
      </c>
      <c r="L170" s="2" t="e">
        <f ca="1">_xludf.XLOOKUP(C170,Customers!$A$4:$A$53,Customers!$B$4:$B$53,"Not found")</f>
        <v>#NAME?</v>
      </c>
      <c r="M170" s="2" t="e">
        <f ca="1">_xludf.XLOOKUP(C170,Customers!$A$4:$A$53,Customers!$C$4:$C$53,"Not found")</f>
        <v>#NAME?</v>
      </c>
      <c r="N170" s="2" t="e">
        <f ca="1">_xludf.XLOOKUP(C170,Customers!$A$4:$A$53,Customers!$D$4:$D$53,"Not found")</f>
        <v>#NAME?</v>
      </c>
      <c r="O170" s="2" t="e">
        <f ca="1">_xludf.XLOOKUP(C170,Customers!$A$4:$A$53,Customers!$E$4:$E$53,"Not found")</f>
        <v>#NAME?</v>
      </c>
      <c r="P170" s="2" t="e">
        <f ca="1">_xludf.XLOOKUP(C170,Customers!$A$4:$A$53,Customers!$F$4:$F$53,"Not found")</f>
        <v>#NAME?</v>
      </c>
      <c r="Q170" s="2" t="e">
        <f ca="1">_xludf.XLOOKUP(D170,Products!$A$4:$A$23,Products!$B$4:$B$23,"Not found")</f>
        <v>#NAME?</v>
      </c>
      <c r="R170" s="2" t="e">
        <f ca="1">_xludf.XLOOKUP(D170,Products!$A$4:$A$23,Products!$C$4:$C$23,"Not found")</f>
        <v>#NAME?</v>
      </c>
      <c r="S170" s="2" t="e">
        <f ca="1">_xludf.XLOOKUP(E170,Sales_Reps!$A$4:$A$11,Sales_Reps!$B$4:$B$11,"Not found")</f>
        <v>#NAME?</v>
      </c>
      <c r="T170" s="2" t="e">
        <f ca="1">_xludf.XLOOKUP(E170,Sales_Reps!$A$4:$A$11,Sales_Reps!$C$4:$C$11,"Not found")</f>
        <v>#NAME?</v>
      </c>
      <c r="U170" s="2"/>
      <c r="V170" s="2"/>
      <c r="W170" s="2"/>
      <c r="X170" s="2"/>
      <c r="Y170" s="2"/>
      <c r="Z170" s="2"/>
    </row>
    <row r="171" spans="1:26">
      <c r="A171" s="2" t="s">
        <v>475</v>
      </c>
      <c r="B171" s="6">
        <v>46067</v>
      </c>
      <c r="C171" s="2" t="s">
        <v>184</v>
      </c>
      <c r="D171" s="2" t="s">
        <v>242</v>
      </c>
      <c r="E171" s="2" t="s">
        <v>294</v>
      </c>
      <c r="F171" s="2">
        <v>2</v>
      </c>
      <c r="G171" s="4">
        <v>70</v>
      </c>
      <c r="H171" s="5">
        <v>0.1</v>
      </c>
      <c r="I171" s="4">
        <v>126</v>
      </c>
      <c r="J171" s="4">
        <v>50.4</v>
      </c>
      <c r="K171" s="2" t="s">
        <v>306</v>
      </c>
      <c r="L171" s="2" t="e">
        <f ca="1">_xludf.XLOOKUP(C171,Customers!$A$4:$A$53,Customers!$B$4:$B$53,"Not found")</f>
        <v>#NAME?</v>
      </c>
      <c r="M171" s="2" t="e">
        <f ca="1">_xludf.XLOOKUP(C171,Customers!$A$4:$A$53,Customers!$C$4:$C$53,"Not found")</f>
        <v>#NAME?</v>
      </c>
      <c r="N171" s="2" t="e">
        <f ca="1">_xludf.XLOOKUP(C171,Customers!$A$4:$A$53,Customers!$D$4:$D$53,"Not found")</f>
        <v>#NAME?</v>
      </c>
      <c r="O171" s="2" t="e">
        <f ca="1">_xludf.XLOOKUP(C171,Customers!$A$4:$A$53,Customers!$E$4:$E$53,"Not found")</f>
        <v>#NAME?</v>
      </c>
      <c r="P171" s="2" t="e">
        <f ca="1">_xludf.XLOOKUP(C171,Customers!$A$4:$A$53,Customers!$F$4:$F$53,"Not found")</f>
        <v>#NAME?</v>
      </c>
      <c r="Q171" s="2" t="e">
        <f ca="1">_xludf.XLOOKUP(D171,Products!$A$4:$A$23,Products!$B$4:$B$23,"Not found")</f>
        <v>#NAME?</v>
      </c>
      <c r="R171" s="2" t="e">
        <f ca="1">_xludf.XLOOKUP(D171,Products!$A$4:$A$23,Products!$C$4:$C$23,"Not found")</f>
        <v>#NAME?</v>
      </c>
      <c r="S171" s="2" t="e">
        <f ca="1">_xludf.XLOOKUP(E171,Sales_Reps!$A$4:$A$11,Sales_Reps!$B$4:$B$11,"Not found")</f>
        <v>#NAME?</v>
      </c>
      <c r="T171" s="2" t="e">
        <f ca="1">_xludf.XLOOKUP(E171,Sales_Reps!$A$4:$A$11,Sales_Reps!$C$4:$C$11,"Not found")</f>
        <v>#NAME?</v>
      </c>
      <c r="U171" s="2"/>
      <c r="V171" s="2"/>
      <c r="W171" s="2"/>
      <c r="X171" s="2"/>
      <c r="Y171" s="2"/>
      <c r="Z171" s="2"/>
    </row>
    <row r="172" spans="1:26">
      <c r="A172" s="2" t="s">
        <v>476</v>
      </c>
      <c r="B172" s="6">
        <v>46095</v>
      </c>
      <c r="C172" s="2" t="s">
        <v>156</v>
      </c>
      <c r="D172" s="2" t="s">
        <v>267</v>
      </c>
      <c r="E172" s="2" t="s">
        <v>287</v>
      </c>
      <c r="F172" s="2">
        <v>6</v>
      </c>
      <c r="G172" s="4">
        <v>120</v>
      </c>
      <c r="H172" s="5">
        <v>0</v>
      </c>
      <c r="I172" s="4">
        <v>720</v>
      </c>
      <c r="J172" s="4">
        <v>273.60000000000002</v>
      </c>
      <c r="K172" s="2" t="s">
        <v>309</v>
      </c>
      <c r="L172" s="2" t="e">
        <f ca="1">_xludf.XLOOKUP(C172,Customers!$A$4:$A$53,Customers!$B$4:$B$53,"Not found")</f>
        <v>#NAME?</v>
      </c>
      <c r="M172" s="2" t="e">
        <f ca="1">_xludf.XLOOKUP(C172,Customers!$A$4:$A$53,Customers!$C$4:$C$53,"Not found")</f>
        <v>#NAME?</v>
      </c>
      <c r="N172" s="2" t="e">
        <f ca="1">_xludf.XLOOKUP(C172,Customers!$A$4:$A$53,Customers!$D$4:$D$53,"Not found")</f>
        <v>#NAME?</v>
      </c>
      <c r="O172" s="2" t="e">
        <f ca="1">_xludf.XLOOKUP(C172,Customers!$A$4:$A$53,Customers!$E$4:$E$53,"Not found")</f>
        <v>#NAME?</v>
      </c>
      <c r="P172" s="2" t="e">
        <f ca="1">_xludf.XLOOKUP(C172,Customers!$A$4:$A$53,Customers!$F$4:$F$53,"Not found")</f>
        <v>#NAME?</v>
      </c>
      <c r="Q172" s="2" t="e">
        <f ca="1">_xludf.XLOOKUP(D172,Products!$A$4:$A$23,Products!$B$4:$B$23,"Not found")</f>
        <v>#NAME?</v>
      </c>
      <c r="R172" s="2" t="e">
        <f ca="1">_xludf.XLOOKUP(D172,Products!$A$4:$A$23,Products!$C$4:$C$23,"Not found")</f>
        <v>#NAME?</v>
      </c>
      <c r="S172" s="2" t="e">
        <f ca="1">_xludf.XLOOKUP(E172,Sales_Reps!$A$4:$A$11,Sales_Reps!$B$4:$B$11,"Not found")</f>
        <v>#NAME?</v>
      </c>
      <c r="T172" s="2" t="e">
        <f ca="1">_xludf.XLOOKUP(E172,Sales_Reps!$A$4:$A$11,Sales_Reps!$C$4:$C$11,"Not found")</f>
        <v>#NAME?</v>
      </c>
      <c r="U172" s="2"/>
      <c r="V172" s="2"/>
      <c r="W172" s="2"/>
      <c r="X172" s="2"/>
      <c r="Y172" s="2"/>
      <c r="Z172" s="2"/>
    </row>
    <row r="173" spans="1:26">
      <c r="A173" s="2" t="s">
        <v>477</v>
      </c>
      <c r="B173" s="6">
        <v>46107</v>
      </c>
      <c r="C173" s="2" t="s">
        <v>180</v>
      </c>
      <c r="D173" s="2" t="s">
        <v>259</v>
      </c>
      <c r="E173" s="2" t="s">
        <v>284</v>
      </c>
      <c r="F173" s="2">
        <v>6</v>
      </c>
      <c r="G173" s="4">
        <v>450</v>
      </c>
      <c r="H173" s="5">
        <v>0</v>
      </c>
      <c r="I173" s="4">
        <v>2700</v>
      </c>
      <c r="J173" s="4">
        <v>1674</v>
      </c>
      <c r="K173" s="2" t="s">
        <v>306</v>
      </c>
      <c r="L173" s="2" t="e">
        <f ca="1">_xludf.XLOOKUP(C173,Customers!$A$4:$A$53,Customers!$B$4:$B$53,"Not found")</f>
        <v>#NAME?</v>
      </c>
      <c r="M173" s="2" t="e">
        <f ca="1">_xludf.XLOOKUP(C173,Customers!$A$4:$A$53,Customers!$C$4:$C$53,"Not found")</f>
        <v>#NAME?</v>
      </c>
      <c r="N173" s="2" t="e">
        <f ca="1">_xludf.XLOOKUP(C173,Customers!$A$4:$A$53,Customers!$D$4:$D$53,"Not found")</f>
        <v>#NAME?</v>
      </c>
      <c r="O173" s="2" t="e">
        <f ca="1">_xludf.XLOOKUP(C173,Customers!$A$4:$A$53,Customers!$E$4:$E$53,"Not found")</f>
        <v>#NAME?</v>
      </c>
      <c r="P173" s="2" t="e">
        <f ca="1">_xludf.XLOOKUP(C173,Customers!$A$4:$A$53,Customers!$F$4:$F$53,"Not found")</f>
        <v>#NAME?</v>
      </c>
      <c r="Q173" s="2" t="e">
        <f ca="1">_xludf.XLOOKUP(D173,Products!$A$4:$A$23,Products!$B$4:$B$23,"Not found")</f>
        <v>#NAME?</v>
      </c>
      <c r="R173" s="2" t="e">
        <f ca="1">_xludf.XLOOKUP(D173,Products!$A$4:$A$23,Products!$C$4:$C$23,"Not found")</f>
        <v>#NAME?</v>
      </c>
      <c r="S173" s="2" t="e">
        <f ca="1">_xludf.XLOOKUP(E173,Sales_Reps!$A$4:$A$11,Sales_Reps!$B$4:$B$11,"Not found")</f>
        <v>#NAME?</v>
      </c>
      <c r="T173" s="2" t="e">
        <f ca="1">_xludf.XLOOKUP(E173,Sales_Reps!$A$4:$A$11,Sales_Reps!$C$4:$C$11,"Not found")</f>
        <v>#NAME?</v>
      </c>
      <c r="U173" s="2"/>
      <c r="V173" s="2"/>
      <c r="W173" s="2"/>
      <c r="X173" s="2"/>
      <c r="Y173" s="2"/>
      <c r="Z173" s="2"/>
    </row>
    <row r="174" spans="1:26">
      <c r="A174" s="2" t="s">
        <v>478</v>
      </c>
      <c r="B174" s="6">
        <v>46172</v>
      </c>
      <c r="C174" s="2" t="s">
        <v>199</v>
      </c>
      <c r="D174" s="2" t="s">
        <v>263</v>
      </c>
      <c r="E174" s="2" t="s">
        <v>75</v>
      </c>
      <c r="F174" s="2">
        <v>6</v>
      </c>
      <c r="G174" s="4">
        <v>800</v>
      </c>
      <c r="H174" s="5">
        <v>0</v>
      </c>
      <c r="I174" s="4">
        <v>4800</v>
      </c>
      <c r="J174" s="4">
        <v>1296</v>
      </c>
      <c r="K174" s="2" t="s">
        <v>306</v>
      </c>
      <c r="L174" s="2" t="e">
        <f ca="1">_xludf.XLOOKUP(C174,Customers!$A$4:$A$53,Customers!$B$4:$B$53,"Not found")</f>
        <v>#NAME?</v>
      </c>
      <c r="M174" s="2" t="e">
        <f ca="1">_xludf.XLOOKUP(C174,Customers!$A$4:$A$53,Customers!$C$4:$C$53,"Not found")</f>
        <v>#NAME?</v>
      </c>
      <c r="N174" s="2" t="e">
        <f ca="1">_xludf.XLOOKUP(C174,Customers!$A$4:$A$53,Customers!$D$4:$D$53,"Not found")</f>
        <v>#NAME?</v>
      </c>
      <c r="O174" s="2" t="e">
        <f ca="1">_xludf.XLOOKUP(C174,Customers!$A$4:$A$53,Customers!$E$4:$E$53,"Not found")</f>
        <v>#NAME?</v>
      </c>
      <c r="P174" s="2" t="e">
        <f ca="1">_xludf.XLOOKUP(C174,Customers!$A$4:$A$53,Customers!$F$4:$F$53,"Not found")</f>
        <v>#NAME?</v>
      </c>
      <c r="Q174" s="2" t="e">
        <f ca="1">_xludf.XLOOKUP(D174,Products!$A$4:$A$23,Products!$B$4:$B$23,"Not found")</f>
        <v>#NAME?</v>
      </c>
      <c r="R174" s="2" t="e">
        <f ca="1">_xludf.XLOOKUP(D174,Products!$A$4:$A$23,Products!$C$4:$C$23,"Not found")</f>
        <v>#NAME?</v>
      </c>
      <c r="S174" s="2" t="e">
        <f ca="1">_xludf.XLOOKUP(E174,Sales_Reps!$A$4:$A$11,Sales_Reps!$B$4:$B$11,"Not found")</f>
        <v>#NAME?</v>
      </c>
      <c r="T174" s="2" t="e">
        <f ca="1">_xludf.XLOOKUP(E174,Sales_Reps!$A$4:$A$11,Sales_Reps!$C$4:$C$11,"Not found")</f>
        <v>#NAME?</v>
      </c>
      <c r="U174" s="2"/>
      <c r="V174" s="2"/>
      <c r="W174" s="2"/>
      <c r="X174" s="2"/>
      <c r="Y174" s="2"/>
      <c r="Z174" s="2"/>
    </row>
    <row r="175" spans="1:26">
      <c r="A175" s="2" t="s">
        <v>479</v>
      </c>
      <c r="B175" s="6">
        <v>46044</v>
      </c>
      <c r="C175" s="2" t="s">
        <v>171</v>
      </c>
      <c r="D175" s="2" t="s">
        <v>257</v>
      </c>
      <c r="E175" s="2" t="s">
        <v>296</v>
      </c>
      <c r="F175" s="2">
        <v>3</v>
      </c>
      <c r="G175" s="4">
        <v>1200</v>
      </c>
      <c r="H175" s="5">
        <v>0.1</v>
      </c>
      <c r="I175" s="4">
        <v>3240</v>
      </c>
      <c r="J175" s="4">
        <v>1944</v>
      </c>
      <c r="K175" s="2" t="s">
        <v>306</v>
      </c>
      <c r="L175" s="2" t="e">
        <f ca="1">_xludf.XLOOKUP(C175,Customers!$A$4:$A$53,Customers!$B$4:$B$53,"Not found")</f>
        <v>#NAME?</v>
      </c>
      <c r="M175" s="2" t="e">
        <f ca="1">_xludf.XLOOKUP(C175,Customers!$A$4:$A$53,Customers!$C$4:$C$53,"Not found")</f>
        <v>#NAME?</v>
      </c>
      <c r="N175" s="2" t="e">
        <f ca="1">_xludf.XLOOKUP(C175,Customers!$A$4:$A$53,Customers!$D$4:$D$53,"Not found")</f>
        <v>#NAME?</v>
      </c>
      <c r="O175" s="2" t="e">
        <f ca="1">_xludf.XLOOKUP(C175,Customers!$A$4:$A$53,Customers!$E$4:$E$53,"Not found")</f>
        <v>#NAME?</v>
      </c>
      <c r="P175" s="2" t="e">
        <f ca="1">_xludf.XLOOKUP(C175,Customers!$A$4:$A$53,Customers!$F$4:$F$53,"Not found")</f>
        <v>#NAME?</v>
      </c>
      <c r="Q175" s="2" t="e">
        <f ca="1">_xludf.XLOOKUP(D175,Products!$A$4:$A$23,Products!$B$4:$B$23,"Not found")</f>
        <v>#NAME?</v>
      </c>
      <c r="R175" s="2" t="e">
        <f ca="1">_xludf.XLOOKUP(D175,Products!$A$4:$A$23,Products!$C$4:$C$23,"Not found")</f>
        <v>#NAME?</v>
      </c>
      <c r="S175" s="2" t="e">
        <f ca="1">_xludf.XLOOKUP(E175,Sales_Reps!$A$4:$A$11,Sales_Reps!$B$4:$B$11,"Not found")</f>
        <v>#NAME?</v>
      </c>
      <c r="T175" s="2" t="e">
        <f ca="1">_xludf.XLOOKUP(E175,Sales_Reps!$A$4:$A$11,Sales_Reps!$C$4:$C$11,"Not found")</f>
        <v>#NAME?</v>
      </c>
      <c r="U175" s="2"/>
      <c r="V175" s="2"/>
      <c r="W175" s="2"/>
      <c r="X175" s="2"/>
      <c r="Y175" s="2"/>
      <c r="Z175" s="2"/>
    </row>
    <row r="176" spans="1:26">
      <c r="A176" s="2" t="s">
        <v>480</v>
      </c>
      <c r="B176" s="6">
        <v>46157</v>
      </c>
      <c r="C176" s="2" t="s">
        <v>199</v>
      </c>
      <c r="D176" s="2" t="s">
        <v>263</v>
      </c>
      <c r="E176" s="2" t="s">
        <v>292</v>
      </c>
      <c r="F176" s="2">
        <v>3</v>
      </c>
      <c r="G176" s="4">
        <v>800</v>
      </c>
      <c r="H176" s="5">
        <v>0.15</v>
      </c>
      <c r="I176" s="4">
        <v>2040</v>
      </c>
      <c r="J176" s="4">
        <v>550.79999999999995</v>
      </c>
      <c r="K176" s="2" t="s">
        <v>306</v>
      </c>
      <c r="L176" s="2" t="e">
        <f ca="1">_xludf.XLOOKUP(C176,Customers!$A$4:$A$53,Customers!$B$4:$B$53,"Not found")</f>
        <v>#NAME?</v>
      </c>
      <c r="M176" s="2" t="e">
        <f ca="1">_xludf.XLOOKUP(C176,Customers!$A$4:$A$53,Customers!$C$4:$C$53,"Not found")</f>
        <v>#NAME?</v>
      </c>
      <c r="N176" s="2" t="e">
        <f ca="1">_xludf.XLOOKUP(C176,Customers!$A$4:$A$53,Customers!$D$4:$D$53,"Not found")</f>
        <v>#NAME?</v>
      </c>
      <c r="O176" s="2" t="e">
        <f ca="1">_xludf.XLOOKUP(C176,Customers!$A$4:$A$53,Customers!$E$4:$E$53,"Not found")</f>
        <v>#NAME?</v>
      </c>
      <c r="P176" s="2" t="e">
        <f ca="1">_xludf.XLOOKUP(C176,Customers!$A$4:$A$53,Customers!$F$4:$F$53,"Not found")</f>
        <v>#NAME?</v>
      </c>
      <c r="Q176" s="2" t="e">
        <f ca="1">_xludf.XLOOKUP(D176,Products!$A$4:$A$23,Products!$B$4:$B$23,"Not found")</f>
        <v>#NAME?</v>
      </c>
      <c r="R176" s="2" t="e">
        <f ca="1">_xludf.XLOOKUP(D176,Products!$A$4:$A$23,Products!$C$4:$C$23,"Not found")</f>
        <v>#NAME?</v>
      </c>
      <c r="S176" s="2" t="e">
        <f ca="1">_xludf.XLOOKUP(E176,Sales_Reps!$A$4:$A$11,Sales_Reps!$B$4:$B$11,"Not found")</f>
        <v>#NAME?</v>
      </c>
      <c r="T176" s="2" t="e">
        <f ca="1">_xludf.XLOOKUP(E176,Sales_Reps!$A$4:$A$11,Sales_Reps!$C$4:$C$11,"Not found")</f>
        <v>#NAME?</v>
      </c>
      <c r="U176" s="2"/>
      <c r="V176" s="2"/>
      <c r="W176" s="2"/>
      <c r="X176" s="2"/>
      <c r="Y176" s="2"/>
      <c r="Z176" s="2"/>
    </row>
    <row r="177" spans="1:26">
      <c r="A177" s="2" t="s">
        <v>481</v>
      </c>
      <c r="B177" s="6">
        <v>46069</v>
      </c>
      <c r="C177" s="2" t="s">
        <v>212</v>
      </c>
      <c r="D177" s="2" t="s">
        <v>265</v>
      </c>
      <c r="E177" s="2" t="s">
        <v>290</v>
      </c>
      <c r="F177" s="2">
        <v>6</v>
      </c>
      <c r="G177" s="4">
        <v>650</v>
      </c>
      <c r="H177" s="5">
        <v>0</v>
      </c>
      <c r="I177" s="4">
        <v>3900</v>
      </c>
      <c r="J177" s="4">
        <v>1248</v>
      </c>
      <c r="K177" s="2" t="s">
        <v>306</v>
      </c>
      <c r="L177" s="2" t="e">
        <f ca="1">_xludf.XLOOKUP(C177,Customers!$A$4:$A$53,Customers!$B$4:$B$53,"Not found")</f>
        <v>#NAME?</v>
      </c>
      <c r="M177" s="2" t="e">
        <f ca="1">_xludf.XLOOKUP(C177,Customers!$A$4:$A$53,Customers!$C$4:$C$53,"Not found")</f>
        <v>#NAME?</v>
      </c>
      <c r="N177" s="2" t="e">
        <f ca="1">_xludf.XLOOKUP(C177,Customers!$A$4:$A$53,Customers!$D$4:$D$53,"Not found")</f>
        <v>#NAME?</v>
      </c>
      <c r="O177" s="2" t="e">
        <f ca="1">_xludf.XLOOKUP(C177,Customers!$A$4:$A$53,Customers!$E$4:$E$53,"Not found")</f>
        <v>#NAME?</v>
      </c>
      <c r="P177" s="2" t="e">
        <f ca="1">_xludf.XLOOKUP(C177,Customers!$A$4:$A$53,Customers!$F$4:$F$53,"Not found")</f>
        <v>#NAME?</v>
      </c>
      <c r="Q177" s="2" t="e">
        <f ca="1">_xludf.XLOOKUP(D177,Products!$A$4:$A$23,Products!$B$4:$B$23,"Not found")</f>
        <v>#NAME?</v>
      </c>
      <c r="R177" s="2" t="e">
        <f ca="1">_xludf.XLOOKUP(D177,Products!$A$4:$A$23,Products!$C$4:$C$23,"Not found")</f>
        <v>#NAME?</v>
      </c>
      <c r="S177" s="2" t="e">
        <f ca="1">_xludf.XLOOKUP(E177,Sales_Reps!$A$4:$A$11,Sales_Reps!$B$4:$B$11,"Not found")</f>
        <v>#NAME?</v>
      </c>
      <c r="T177" s="2" t="e">
        <f ca="1">_xludf.XLOOKUP(E177,Sales_Reps!$A$4:$A$11,Sales_Reps!$C$4:$C$11,"Not found")</f>
        <v>#NAME?</v>
      </c>
      <c r="U177" s="2"/>
      <c r="V177" s="2"/>
      <c r="W177" s="2"/>
      <c r="X177" s="2"/>
      <c r="Y177" s="2"/>
      <c r="Z177" s="2"/>
    </row>
    <row r="178" spans="1:26">
      <c r="A178" s="2" t="s">
        <v>482</v>
      </c>
      <c r="B178" s="6">
        <v>46098</v>
      </c>
      <c r="C178" s="2" t="s">
        <v>169</v>
      </c>
      <c r="D178" s="2" t="s">
        <v>269</v>
      </c>
      <c r="E178" s="2" t="s">
        <v>290</v>
      </c>
      <c r="F178" s="2">
        <v>3</v>
      </c>
      <c r="G178" s="4">
        <v>1100</v>
      </c>
      <c r="H178" s="5">
        <v>0</v>
      </c>
      <c r="I178" s="4">
        <v>3300</v>
      </c>
      <c r="J178" s="4">
        <v>2244</v>
      </c>
      <c r="K178" s="2" t="s">
        <v>306</v>
      </c>
      <c r="L178" s="2" t="e">
        <f ca="1">_xludf.XLOOKUP(C178,Customers!$A$4:$A$53,Customers!$B$4:$B$53,"Not found")</f>
        <v>#NAME?</v>
      </c>
      <c r="M178" s="2" t="e">
        <f ca="1">_xludf.XLOOKUP(C178,Customers!$A$4:$A$53,Customers!$C$4:$C$53,"Not found")</f>
        <v>#NAME?</v>
      </c>
      <c r="N178" s="2" t="e">
        <f ca="1">_xludf.XLOOKUP(C178,Customers!$A$4:$A$53,Customers!$D$4:$D$53,"Not found")</f>
        <v>#NAME?</v>
      </c>
      <c r="O178" s="2" t="e">
        <f ca="1">_xludf.XLOOKUP(C178,Customers!$A$4:$A$53,Customers!$E$4:$E$53,"Not found")</f>
        <v>#NAME?</v>
      </c>
      <c r="P178" s="2" t="e">
        <f ca="1">_xludf.XLOOKUP(C178,Customers!$A$4:$A$53,Customers!$F$4:$F$53,"Not found")</f>
        <v>#NAME?</v>
      </c>
      <c r="Q178" s="2" t="e">
        <f ca="1">_xludf.XLOOKUP(D178,Products!$A$4:$A$23,Products!$B$4:$B$23,"Not found")</f>
        <v>#NAME?</v>
      </c>
      <c r="R178" s="2" t="e">
        <f ca="1">_xludf.XLOOKUP(D178,Products!$A$4:$A$23,Products!$C$4:$C$23,"Not found")</f>
        <v>#NAME?</v>
      </c>
      <c r="S178" s="2" t="e">
        <f ca="1">_xludf.XLOOKUP(E178,Sales_Reps!$A$4:$A$11,Sales_Reps!$B$4:$B$11,"Not found")</f>
        <v>#NAME?</v>
      </c>
      <c r="T178" s="2" t="e">
        <f ca="1">_xludf.XLOOKUP(E178,Sales_Reps!$A$4:$A$11,Sales_Reps!$C$4:$C$11,"Not found")</f>
        <v>#NAME?</v>
      </c>
      <c r="U178" s="2"/>
      <c r="V178" s="2"/>
      <c r="W178" s="2"/>
      <c r="X178" s="2"/>
      <c r="Y178" s="2"/>
      <c r="Z178" s="2"/>
    </row>
    <row r="179" spans="1:26">
      <c r="A179" s="2" t="s">
        <v>483</v>
      </c>
      <c r="B179" s="6">
        <v>46056</v>
      </c>
      <c r="C179" s="2" t="s">
        <v>193</v>
      </c>
      <c r="D179" s="2" t="s">
        <v>273</v>
      </c>
      <c r="E179" s="2" t="s">
        <v>75</v>
      </c>
      <c r="F179" s="2">
        <v>6</v>
      </c>
      <c r="G179" s="4">
        <v>350</v>
      </c>
      <c r="H179" s="5">
        <v>0.1</v>
      </c>
      <c r="I179" s="4">
        <v>1890</v>
      </c>
      <c r="J179" s="4">
        <v>1096.2</v>
      </c>
      <c r="K179" s="2" t="s">
        <v>313</v>
      </c>
      <c r="L179" s="2" t="e">
        <f ca="1">_xludf.XLOOKUP(C179,Customers!$A$4:$A$53,Customers!$B$4:$B$53,"Not found")</f>
        <v>#NAME?</v>
      </c>
      <c r="M179" s="2" t="e">
        <f ca="1">_xludf.XLOOKUP(C179,Customers!$A$4:$A$53,Customers!$C$4:$C$53,"Not found")</f>
        <v>#NAME?</v>
      </c>
      <c r="N179" s="2" t="e">
        <f ca="1">_xludf.XLOOKUP(C179,Customers!$A$4:$A$53,Customers!$D$4:$D$53,"Not found")</f>
        <v>#NAME?</v>
      </c>
      <c r="O179" s="2" t="e">
        <f ca="1">_xludf.XLOOKUP(C179,Customers!$A$4:$A$53,Customers!$E$4:$E$53,"Not found")</f>
        <v>#NAME?</v>
      </c>
      <c r="P179" s="2" t="e">
        <f ca="1">_xludf.XLOOKUP(C179,Customers!$A$4:$A$53,Customers!$F$4:$F$53,"Not found")</f>
        <v>#NAME?</v>
      </c>
      <c r="Q179" s="2" t="e">
        <f ca="1">_xludf.XLOOKUP(D179,Products!$A$4:$A$23,Products!$B$4:$B$23,"Not found")</f>
        <v>#NAME?</v>
      </c>
      <c r="R179" s="2" t="e">
        <f ca="1">_xludf.XLOOKUP(D179,Products!$A$4:$A$23,Products!$C$4:$C$23,"Not found")</f>
        <v>#NAME?</v>
      </c>
      <c r="S179" s="2" t="e">
        <f ca="1">_xludf.XLOOKUP(E179,Sales_Reps!$A$4:$A$11,Sales_Reps!$B$4:$B$11,"Not found")</f>
        <v>#NAME?</v>
      </c>
      <c r="T179" s="2" t="e">
        <f ca="1">_xludf.XLOOKUP(E179,Sales_Reps!$A$4:$A$11,Sales_Reps!$C$4:$C$11,"Not found")</f>
        <v>#NAME?</v>
      </c>
      <c r="U179" s="2"/>
      <c r="V179" s="2"/>
      <c r="W179" s="2"/>
      <c r="X179" s="2"/>
      <c r="Y179" s="2"/>
      <c r="Z179" s="2"/>
    </row>
    <row r="180" spans="1:26">
      <c r="A180" s="2" t="s">
        <v>484</v>
      </c>
      <c r="B180" s="6">
        <v>46128</v>
      </c>
      <c r="C180" s="2" t="s">
        <v>175</v>
      </c>
      <c r="D180" s="2" t="s">
        <v>245</v>
      </c>
      <c r="E180" s="2" t="s">
        <v>287</v>
      </c>
      <c r="F180" s="2">
        <v>8</v>
      </c>
      <c r="G180" s="4">
        <v>35</v>
      </c>
      <c r="H180" s="5">
        <v>0</v>
      </c>
      <c r="I180" s="4">
        <v>280</v>
      </c>
      <c r="J180" s="4">
        <v>117.6</v>
      </c>
      <c r="K180" s="2" t="s">
        <v>306</v>
      </c>
      <c r="L180" s="2" t="e">
        <f ca="1">_xludf.XLOOKUP(C180,Customers!$A$4:$A$53,Customers!$B$4:$B$53,"Not found")</f>
        <v>#NAME?</v>
      </c>
      <c r="M180" s="2" t="e">
        <f ca="1">_xludf.XLOOKUP(C180,Customers!$A$4:$A$53,Customers!$C$4:$C$53,"Not found")</f>
        <v>#NAME?</v>
      </c>
      <c r="N180" s="2" t="e">
        <f ca="1">_xludf.XLOOKUP(C180,Customers!$A$4:$A$53,Customers!$D$4:$D$53,"Not found")</f>
        <v>#NAME?</v>
      </c>
      <c r="O180" s="2" t="e">
        <f ca="1">_xludf.XLOOKUP(C180,Customers!$A$4:$A$53,Customers!$E$4:$E$53,"Not found")</f>
        <v>#NAME?</v>
      </c>
      <c r="P180" s="2" t="e">
        <f ca="1">_xludf.XLOOKUP(C180,Customers!$A$4:$A$53,Customers!$F$4:$F$53,"Not found")</f>
        <v>#NAME?</v>
      </c>
      <c r="Q180" s="2" t="e">
        <f ca="1">_xludf.XLOOKUP(D180,Products!$A$4:$A$23,Products!$B$4:$B$23,"Not found")</f>
        <v>#NAME?</v>
      </c>
      <c r="R180" s="2" t="e">
        <f ca="1">_xludf.XLOOKUP(D180,Products!$A$4:$A$23,Products!$C$4:$C$23,"Not found")</f>
        <v>#NAME?</v>
      </c>
      <c r="S180" s="2" t="e">
        <f ca="1">_xludf.XLOOKUP(E180,Sales_Reps!$A$4:$A$11,Sales_Reps!$B$4:$B$11,"Not found")</f>
        <v>#NAME?</v>
      </c>
      <c r="T180" s="2" t="e">
        <f ca="1">_xludf.XLOOKUP(E180,Sales_Reps!$A$4:$A$11,Sales_Reps!$C$4:$C$11,"Not found")</f>
        <v>#NAME?</v>
      </c>
      <c r="U180" s="2"/>
      <c r="V180" s="2"/>
      <c r="W180" s="2"/>
      <c r="X180" s="2"/>
      <c r="Y180" s="2"/>
      <c r="Z180" s="2"/>
    </row>
    <row r="181" spans="1:26" ht="15">
      <c r="A181" s="2" t="s">
        <v>485</v>
      </c>
      <c r="B181" s="6">
        <v>46159</v>
      </c>
      <c r="C181" s="2" t="s">
        <v>217</v>
      </c>
      <c r="D181" s="2" t="s">
        <v>252</v>
      </c>
      <c r="E181" s="2" t="s">
        <v>292</v>
      </c>
      <c r="F181" s="2">
        <v>8</v>
      </c>
      <c r="G181" s="4">
        <v>900</v>
      </c>
      <c r="H181" s="5">
        <v>0</v>
      </c>
      <c r="I181" s="4">
        <v>7200</v>
      </c>
      <c r="J181" s="4">
        <v>5040</v>
      </c>
      <c r="K181" s="2" t="s">
        <v>306</v>
      </c>
      <c r="L181" s="2" t="e">
        <f ca="1">_xludf.XLOOKUP(C181,Customers!$A$4:$A$53,Customers!$B$4:$B$53,"Not found")</f>
        <v>#NAME?</v>
      </c>
      <c r="M181" s="2" t="e">
        <f ca="1">_xludf.XLOOKUP(C181,Customers!$A$4:$A$53,Customers!$C$4:$C$53,"Not found")</f>
        <v>#NAME?</v>
      </c>
      <c r="N181" s="2" t="e">
        <f ca="1">_xludf.XLOOKUP(C181,Customers!$A$4:$A$53,Customers!$D$4:$D$53,"Not found")</f>
        <v>#NAME?</v>
      </c>
      <c r="O181" s="2" t="e">
        <f ca="1">_xludf.XLOOKUP(C181,Customers!$A$4:$A$53,Customers!$E$4:$E$53,"Not found")</f>
        <v>#NAME?</v>
      </c>
      <c r="P181" s="2" t="e">
        <f ca="1">_xludf.XLOOKUP(C181,Customers!$A$4:$A$53,Customers!$F$4:$F$53,"Not found")</f>
        <v>#NAME?</v>
      </c>
      <c r="Q181" s="2" t="e">
        <f ca="1">_xludf.XLOOKUP(D181,Products!$A$4:$A$23,Products!$B$4:$B$23,"Not found")</f>
        <v>#NAME?</v>
      </c>
      <c r="R181" s="2" t="e">
        <f ca="1">_xludf.XLOOKUP(D181,Products!$A$4:$A$23,Products!$C$4:$C$23,"Not found")</f>
        <v>#NAME?</v>
      </c>
      <c r="S181" s="2" t="e">
        <f ca="1">_xludf.XLOOKUP(E181,Sales_Reps!$A$4:$A$11,Sales_Reps!$B$4:$B$11,"Not found")</f>
        <v>#NAME?</v>
      </c>
      <c r="T181" s="2" t="e">
        <f ca="1">_xludf.XLOOKUP(E181,Sales_Reps!$A$4:$A$11,Sales_Reps!$C$4:$C$11,"Not found")</f>
        <v>#NAME?</v>
      </c>
      <c r="U181" s="2"/>
      <c r="V181" s="2"/>
      <c r="W181" s="2"/>
      <c r="X181" s="2"/>
      <c r="Y181" s="2"/>
      <c r="Z181" s="2"/>
    </row>
    <row r="182" spans="1:26" ht="15">
      <c r="A182" s="2" t="s">
        <v>486</v>
      </c>
      <c r="B182" s="6">
        <v>46169</v>
      </c>
      <c r="C182" s="2" t="s">
        <v>164</v>
      </c>
      <c r="D182" s="2" t="s">
        <v>269</v>
      </c>
      <c r="E182" s="2" t="s">
        <v>290</v>
      </c>
      <c r="F182" s="2">
        <v>6</v>
      </c>
      <c r="G182" s="4">
        <v>1100</v>
      </c>
      <c r="H182" s="5">
        <v>0.15</v>
      </c>
      <c r="I182" s="4">
        <v>5610</v>
      </c>
      <c r="J182" s="4">
        <v>3814.8</v>
      </c>
      <c r="K182" s="2" t="s">
        <v>309</v>
      </c>
      <c r="L182" s="2" t="e">
        <f ca="1">_xludf.XLOOKUP(C182,Customers!$A$4:$A$53,Customers!$B$4:$B$53,"Not found")</f>
        <v>#NAME?</v>
      </c>
      <c r="M182" s="2" t="e">
        <f ca="1">_xludf.XLOOKUP(C182,Customers!$A$4:$A$53,Customers!$C$4:$C$53,"Not found")</f>
        <v>#NAME?</v>
      </c>
      <c r="N182" s="2" t="e">
        <f ca="1">_xludf.XLOOKUP(C182,Customers!$A$4:$A$53,Customers!$D$4:$D$53,"Not found")</f>
        <v>#NAME?</v>
      </c>
      <c r="O182" s="2" t="e">
        <f ca="1">_xludf.XLOOKUP(C182,Customers!$A$4:$A$53,Customers!$E$4:$E$53,"Not found")</f>
        <v>#NAME?</v>
      </c>
      <c r="P182" s="2" t="e">
        <f ca="1">_xludf.XLOOKUP(C182,Customers!$A$4:$A$53,Customers!$F$4:$F$53,"Not found")</f>
        <v>#NAME?</v>
      </c>
      <c r="Q182" s="2" t="e">
        <f ca="1">_xludf.XLOOKUP(D182,Products!$A$4:$A$23,Products!$B$4:$B$23,"Not found")</f>
        <v>#NAME?</v>
      </c>
      <c r="R182" s="2" t="e">
        <f ca="1">_xludf.XLOOKUP(D182,Products!$A$4:$A$23,Products!$C$4:$C$23,"Not found")</f>
        <v>#NAME?</v>
      </c>
      <c r="S182" s="2" t="e">
        <f ca="1">_xludf.XLOOKUP(E182,Sales_Reps!$A$4:$A$11,Sales_Reps!$B$4:$B$11,"Not found")</f>
        <v>#NAME?</v>
      </c>
      <c r="T182" s="2" t="e">
        <f ca="1">_xludf.XLOOKUP(E182,Sales_Reps!$A$4:$A$11,Sales_Reps!$C$4:$C$11,"Not found")</f>
        <v>#NAME?</v>
      </c>
      <c r="U182" s="2"/>
      <c r="V182" s="2"/>
      <c r="W182" s="2"/>
      <c r="X182" s="2"/>
      <c r="Y182" s="2"/>
      <c r="Z182" s="2"/>
    </row>
    <row r="183" spans="1:26">
      <c r="A183" s="2" t="s">
        <v>487</v>
      </c>
      <c r="B183" s="6">
        <v>46058</v>
      </c>
      <c r="C183" s="2" t="s">
        <v>186</v>
      </c>
      <c r="D183" s="2" t="s">
        <v>257</v>
      </c>
      <c r="E183" s="2" t="s">
        <v>296</v>
      </c>
      <c r="F183" s="2">
        <v>3</v>
      </c>
      <c r="G183" s="4">
        <v>1200</v>
      </c>
      <c r="H183" s="5">
        <v>0</v>
      </c>
      <c r="I183" s="4">
        <v>3600</v>
      </c>
      <c r="J183" s="4">
        <v>2160</v>
      </c>
      <c r="K183" s="2" t="s">
        <v>306</v>
      </c>
      <c r="L183" s="2" t="e">
        <f ca="1">_xludf.XLOOKUP(C183,Customers!$A$4:$A$53,Customers!$B$4:$B$53,"Not found")</f>
        <v>#NAME?</v>
      </c>
      <c r="M183" s="2" t="e">
        <f ca="1">_xludf.XLOOKUP(C183,Customers!$A$4:$A$53,Customers!$C$4:$C$53,"Not found")</f>
        <v>#NAME?</v>
      </c>
      <c r="N183" s="2" t="e">
        <f ca="1">_xludf.XLOOKUP(C183,Customers!$A$4:$A$53,Customers!$D$4:$D$53,"Not found")</f>
        <v>#NAME?</v>
      </c>
      <c r="O183" s="2" t="e">
        <f ca="1">_xludf.XLOOKUP(C183,Customers!$A$4:$A$53,Customers!$E$4:$E$53,"Not found")</f>
        <v>#NAME?</v>
      </c>
      <c r="P183" s="2" t="e">
        <f ca="1">_xludf.XLOOKUP(C183,Customers!$A$4:$A$53,Customers!$F$4:$F$53,"Not found")</f>
        <v>#NAME?</v>
      </c>
      <c r="Q183" s="2" t="e">
        <f ca="1">_xludf.XLOOKUP(D183,Products!$A$4:$A$23,Products!$B$4:$B$23,"Not found")</f>
        <v>#NAME?</v>
      </c>
      <c r="R183" s="2" t="e">
        <f ca="1">_xludf.XLOOKUP(D183,Products!$A$4:$A$23,Products!$C$4:$C$23,"Not found")</f>
        <v>#NAME?</v>
      </c>
      <c r="S183" s="2" t="e">
        <f ca="1">_xludf.XLOOKUP(E183,Sales_Reps!$A$4:$A$11,Sales_Reps!$B$4:$B$11,"Not found")</f>
        <v>#NAME?</v>
      </c>
      <c r="T183" s="2" t="e">
        <f ca="1">_xludf.XLOOKUP(E183,Sales_Reps!$A$4:$A$11,Sales_Reps!$C$4:$C$11,"Not found")</f>
        <v>#NAME?</v>
      </c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T1"/>
  </mergeCells>
  <conditionalFormatting sqref="I4:I183">
    <cfRule type="cellIs" dxfId="0" priority="1" operator="greater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220"/>
  <sheetViews>
    <sheetView tabSelected="1" workbookViewId="0">
      <selection sqref="A1:H1"/>
    </sheetView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489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00.5">
      <c r="A3" s="1" t="s">
        <v>490</v>
      </c>
      <c r="B3" s="2" t="s">
        <v>491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00.5">
      <c r="A4" s="1" t="s">
        <v>492</v>
      </c>
      <c r="B4" s="2" t="s">
        <v>493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00.5">
      <c r="A5" s="1" t="s">
        <v>494</v>
      </c>
      <c r="B5" s="2" t="s">
        <v>495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95" customHeight="1">
      <c r="A9" s="3" t="s">
        <v>496</v>
      </c>
      <c r="B9" s="3" t="s">
        <v>497</v>
      </c>
      <c r="C9" s="3" t="s">
        <v>498</v>
      </c>
      <c r="D9" s="3" t="s">
        <v>499</v>
      </c>
      <c r="E9" s="3" t="s">
        <v>500</v>
      </c>
      <c r="F9" s="3" t="s">
        <v>501</v>
      </c>
      <c r="G9" s="3" t="s">
        <v>502</v>
      </c>
      <c r="H9" s="3" t="s">
        <v>503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2" t="s">
        <v>504</v>
      </c>
      <c r="B10" s="2" t="s">
        <v>505</v>
      </c>
      <c r="C10" s="2" t="s">
        <v>63</v>
      </c>
      <c r="D10" s="2" t="s">
        <v>87</v>
      </c>
      <c r="E10" s="2" t="s">
        <v>100</v>
      </c>
      <c r="F10" s="2" t="s">
        <v>506</v>
      </c>
      <c r="G10" s="2" t="e">
        <f ca="1">_xludf.XLOOKUP(C4, Customers ID column, Customer Name column)</f>
        <v>#NAME?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>
      <c r="A11" s="2" t="s">
        <v>507</v>
      </c>
      <c r="B11" s="2" t="s">
        <v>508</v>
      </c>
      <c r="C11" s="2" t="s">
        <v>63</v>
      </c>
      <c r="D11" s="2" t="s">
        <v>87</v>
      </c>
      <c r="E11" s="2" t="s">
        <v>101</v>
      </c>
      <c r="F11" s="2" t="s">
        <v>509</v>
      </c>
      <c r="G11" s="2" t="s">
        <v>510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>
      <c r="A12" s="2" t="s">
        <v>511</v>
      </c>
      <c r="B12" s="2" t="s">
        <v>512</v>
      </c>
      <c r="C12" s="2" t="s">
        <v>63</v>
      </c>
      <c r="D12" s="2" t="s">
        <v>87</v>
      </c>
      <c r="E12" s="2" t="s">
        <v>88</v>
      </c>
      <c r="F12" s="2" t="s">
        <v>513</v>
      </c>
      <c r="G12" s="2" t="s">
        <v>514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8.5">
      <c r="A13" s="2" t="s">
        <v>515</v>
      </c>
      <c r="B13" s="2" t="s">
        <v>516</v>
      </c>
      <c r="C13" s="2" t="s">
        <v>68</v>
      </c>
      <c r="D13" s="2" t="s">
        <v>517</v>
      </c>
      <c r="E13" s="2" t="s">
        <v>232</v>
      </c>
      <c r="F13" s="2" t="s">
        <v>518</v>
      </c>
      <c r="G13" s="2" t="s">
        <v>519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8.5">
      <c r="A14" s="2" t="s">
        <v>520</v>
      </c>
      <c r="B14" s="2" t="s">
        <v>521</v>
      </c>
      <c r="C14" s="2" t="s">
        <v>73</v>
      </c>
      <c r="D14" s="2" t="s">
        <v>93</v>
      </c>
      <c r="E14" s="2" t="s">
        <v>280</v>
      </c>
      <c r="F14" s="2" t="s">
        <v>522</v>
      </c>
      <c r="G14" s="2" t="s">
        <v>523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>
      <c r="A17" s="10" t="s">
        <v>524</v>
      </c>
      <c r="B17" s="9"/>
      <c r="C17" s="9"/>
      <c r="D17" s="9"/>
      <c r="E17" s="9"/>
      <c r="F17" s="9"/>
      <c r="G17" s="9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8.5">
      <c r="A18" s="2" t="s">
        <v>525</v>
      </c>
      <c r="B18" s="2" t="s">
        <v>526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42.75">
      <c r="A19" s="2" t="s">
        <v>527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42.75">
      <c r="A20" s="2" t="s">
        <v>528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2">
    <mergeCell ref="A1:H1"/>
    <mergeCell ref="A17:H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529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86.25">
      <c r="A3" s="1" t="s">
        <v>490</v>
      </c>
      <c r="B3" s="2" t="s">
        <v>530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2">
      <c r="A4" s="1" t="s">
        <v>492</v>
      </c>
      <c r="B4" s="2" t="s">
        <v>531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5">
      <c r="A5" s="1" t="s">
        <v>494</v>
      </c>
      <c r="B5" s="2" t="s">
        <v>532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95" customHeight="1">
      <c r="A9" s="3" t="s">
        <v>496</v>
      </c>
      <c r="B9" s="3" t="s">
        <v>497</v>
      </c>
      <c r="C9" s="3" t="s">
        <v>533</v>
      </c>
      <c r="D9" s="3" t="s">
        <v>534</v>
      </c>
      <c r="E9" s="3" t="s">
        <v>535</v>
      </c>
      <c r="F9" s="3" t="s">
        <v>536</v>
      </c>
      <c r="G9" s="3" t="s">
        <v>502</v>
      </c>
      <c r="H9" s="3" t="s">
        <v>537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2" t="s">
        <v>504</v>
      </c>
      <c r="B10" s="2" t="s">
        <v>538</v>
      </c>
      <c r="C10" s="2" t="s">
        <v>539</v>
      </c>
      <c r="D10" s="2" t="s">
        <v>540</v>
      </c>
      <c r="E10" s="2" t="s">
        <v>96</v>
      </c>
      <c r="F10" s="2" t="s">
        <v>541</v>
      </c>
      <c r="G10" s="2" t="s">
        <v>542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>
      <c r="A11" s="2" t="s">
        <v>507</v>
      </c>
      <c r="B11" s="2" t="s">
        <v>543</v>
      </c>
      <c r="C11" s="2" t="s">
        <v>539</v>
      </c>
      <c r="D11" s="2" t="s">
        <v>544</v>
      </c>
      <c r="E11" s="2" t="s">
        <v>142</v>
      </c>
      <c r="F11" s="2" t="s">
        <v>545</v>
      </c>
      <c r="G11" s="2" t="s">
        <v>546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>
      <c r="A12" s="2" t="s">
        <v>511</v>
      </c>
      <c r="B12" s="2" t="s">
        <v>547</v>
      </c>
      <c r="C12" s="2" t="s">
        <v>548</v>
      </c>
      <c r="D12" s="2" t="s">
        <v>549</v>
      </c>
      <c r="E12" s="2" t="s">
        <v>237</v>
      </c>
      <c r="F12" s="2" t="s">
        <v>550</v>
      </c>
      <c r="G12" s="2" t="s">
        <v>551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57">
      <c r="A13" s="2" t="s">
        <v>515</v>
      </c>
      <c r="B13" s="2" t="s">
        <v>552</v>
      </c>
      <c r="C13" s="2" t="s">
        <v>539</v>
      </c>
      <c r="D13" s="2" t="s">
        <v>553</v>
      </c>
      <c r="E13" s="2" t="s">
        <v>282</v>
      </c>
      <c r="F13" s="2" t="s">
        <v>554</v>
      </c>
      <c r="G13" s="2" t="s">
        <v>555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.95" customHeight="1">
      <c r="A17" s="3" t="s">
        <v>556</v>
      </c>
      <c r="B17" s="3" t="s">
        <v>557</v>
      </c>
      <c r="C17" s="3" t="s">
        <v>558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42.75">
      <c r="A18" s="2" t="s">
        <v>559</v>
      </c>
      <c r="B18" s="4">
        <f ca="1">SUMIFS(Orders_Solution!$I$4:$I$183,Orders_Solution!$N$4:$N$183,"North")</f>
        <v>0</v>
      </c>
      <c r="C18" s="2" t="s">
        <v>560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8.5">
      <c r="A19" s="2" t="s">
        <v>561</v>
      </c>
      <c r="B19" s="4">
        <f ca="1">SUMIFS(Orders_Solution!$I$4:$I$183,Orders_Solution!$O$4:$O$183,"Technology")</f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 t="s">
        <v>562</v>
      </c>
      <c r="B20" s="4">
        <f ca="1">SUMIFS(Orders_Solution!$J$4:$J$183,Orders_Solution!$R$4:$R$183,"Hardware")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8.5">
      <c r="A21" s="2" t="s">
        <v>563</v>
      </c>
      <c r="B21" s="4">
        <f ca="1">SUMIFS(Orders_Solution!$I$4:$I$183,Orders_Solution!$S$4:$S$183,"Ava Johnson")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564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2">
      <c r="A3" s="1" t="s">
        <v>490</v>
      </c>
      <c r="B3" s="2" t="s">
        <v>565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2">
      <c r="A4" s="1" t="s">
        <v>492</v>
      </c>
      <c r="B4" s="2" t="s">
        <v>566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57.75">
      <c r="A5" s="1" t="s">
        <v>494</v>
      </c>
      <c r="B5" s="2" t="s">
        <v>567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95" customHeight="1">
      <c r="A9" s="3" t="s">
        <v>496</v>
      </c>
      <c r="B9" s="3" t="s">
        <v>497</v>
      </c>
      <c r="C9" s="3" t="s">
        <v>568</v>
      </c>
      <c r="D9" s="3" t="s">
        <v>569</v>
      </c>
      <c r="E9" s="3" t="s">
        <v>570</v>
      </c>
      <c r="F9" s="3" t="s">
        <v>571</v>
      </c>
      <c r="G9" s="3" t="s">
        <v>536</v>
      </c>
      <c r="H9" s="3" t="s">
        <v>502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8.5">
      <c r="A10" s="2" t="s">
        <v>504</v>
      </c>
      <c r="B10" s="2" t="s">
        <v>572</v>
      </c>
      <c r="C10" s="2" t="s">
        <v>102</v>
      </c>
      <c r="D10" s="2" t="s">
        <v>96</v>
      </c>
      <c r="E10" s="2"/>
      <c r="F10" s="2"/>
      <c r="G10" s="2" t="s">
        <v>541</v>
      </c>
      <c r="H10" s="2" t="s">
        <v>573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2" t="s">
        <v>507</v>
      </c>
      <c r="B11" s="2" t="s">
        <v>574</v>
      </c>
      <c r="C11" s="2" t="s">
        <v>10</v>
      </c>
      <c r="D11" s="2" t="s">
        <v>306</v>
      </c>
      <c r="E11" s="2"/>
      <c r="F11" s="2"/>
      <c r="G11" s="2" t="s">
        <v>545</v>
      </c>
      <c r="H11" s="2" t="s">
        <v>573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8.5">
      <c r="A12" s="2" t="s">
        <v>511</v>
      </c>
      <c r="B12" s="2" t="s">
        <v>575</v>
      </c>
      <c r="C12" s="2" t="s">
        <v>233</v>
      </c>
      <c r="D12" s="2" t="s">
        <v>237</v>
      </c>
      <c r="E12" s="2" t="s">
        <v>102</v>
      </c>
      <c r="F12" s="2" t="s">
        <v>96</v>
      </c>
      <c r="G12" s="2" t="s">
        <v>550</v>
      </c>
      <c r="H12" s="2" t="s">
        <v>576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.75">
      <c r="A13" s="2" t="s">
        <v>515</v>
      </c>
      <c r="B13" s="2" t="s">
        <v>577</v>
      </c>
      <c r="C13" s="2" t="s">
        <v>280</v>
      </c>
      <c r="D13" s="2" t="s">
        <v>282</v>
      </c>
      <c r="E13" s="2"/>
      <c r="F13" s="2"/>
      <c r="G13" s="2" t="s">
        <v>554</v>
      </c>
      <c r="H13" s="2" t="s">
        <v>578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7.95" customHeight="1">
      <c r="A17" s="3" t="s">
        <v>556</v>
      </c>
      <c r="B17" s="3" t="s">
        <v>579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 t="s">
        <v>580</v>
      </c>
      <c r="B18" s="2">
        <f ca="1">COUNTIFS(Orders_Solution!$N$4:$N$183,"North")</f>
        <v>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 t="s">
        <v>581</v>
      </c>
      <c r="B19" s="2">
        <f>COUNTIFS(Orders_Solution!$K$4:$K$183,"Closed Won")</f>
        <v>102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28.5">
      <c r="A20" s="2" t="s">
        <v>582</v>
      </c>
      <c r="B20" s="2">
        <f ca="1">COUNTIFS(Orders_Solution!$R$4:$R$183,"Hardware",Orders_Solution!$N$4:$N$183,"North")</f>
        <v>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 t="s">
        <v>583</v>
      </c>
      <c r="B21" s="2">
        <f ca="1">COUNTIFS(Orders_Solution!$S$4:$S$183,"Ava Johnson")</f>
        <v>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584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00.5">
      <c r="A3" s="1" t="s">
        <v>490</v>
      </c>
      <c r="B3" s="2" t="s">
        <v>585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72">
      <c r="A4" s="1" t="s">
        <v>492</v>
      </c>
      <c r="B4" s="2" t="s">
        <v>586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7.95" customHeight="1">
      <c r="A8" s="3" t="s">
        <v>496</v>
      </c>
      <c r="B8" s="3" t="s">
        <v>497</v>
      </c>
      <c r="C8" s="3" t="s">
        <v>587</v>
      </c>
      <c r="D8" s="3" t="s">
        <v>588</v>
      </c>
      <c r="E8" s="3" t="s">
        <v>589</v>
      </c>
      <c r="F8" s="3" t="s">
        <v>590</v>
      </c>
      <c r="G8" s="3" t="s">
        <v>591</v>
      </c>
      <c r="H8" s="3" t="s">
        <v>503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57">
      <c r="A9" s="2" t="s">
        <v>504</v>
      </c>
      <c r="B9" s="2" t="s">
        <v>592</v>
      </c>
      <c r="C9" s="2" t="s">
        <v>593</v>
      </c>
      <c r="D9" s="2" t="s">
        <v>594</v>
      </c>
      <c r="E9" s="2" t="s">
        <v>595</v>
      </c>
      <c r="F9" s="2" t="s">
        <v>596</v>
      </c>
      <c r="G9" s="2" t="s">
        <v>597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2" t="s">
        <v>507</v>
      </c>
      <c r="B10" s="2" t="s">
        <v>598</v>
      </c>
      <c r="C10" s="2" t="s">
        <v>599</v>
      </c>
      <c r="D10" s="2" t="s">
        <v>600</v>
      </c>
      <c r="E10" s="2" t="s">
        <v>601</v>
      </c>
      <c r="F10" s="2" t="s">
        <v>602</v>
      </c>
      <c r="G10" s="2" t="s">
        <v>603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5">
      <c r="A11" s="2" t="s">
        <v>511</v>
      </c>
      <c r="B11" s="2" t="s">
        <v>604</v>
      </c>
      <c r="C11" s="2" t="s">
        <v>605</v>
      </c>
      <c r="D11" s="2" t="s">
        <v>606</v>
      </c>
      <c r="E11" s="2" t="s">
        <v>313</v>
      </c>
      <c r="F11" s="2" t="s">
        <v>607</v>
      </c>
      <c r="G11" s="2" t="s">
        <v>608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>
      <c r="A12" s="2" t="s">
        <v>515</v>
      </c>
      <c r="B12" s="2" t="s">
        <v>609</v>
      </c>
      <c r="C12" s="2" t="s">
        <v>610</v>
      </c>
      <c r="D12" s="2" t="s">
        <v>594</v>
      </c>
      <c r="E12" s="2" t="s">
        <v>611</v>
      </c>
      <c r="F12" s="2" t="s">
        <v>612</v>
      </c>
      <c r="G12" s="2" t="s">
        <v>613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614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2">
      <c r="A3" s="1" t="s">
        <v>490</v>
      </c>
      <c r="B3" s="2" t="s">
        <v>615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86.25">
      <c r="A4" s="1" t="s">
        <v>492</v>
      </c>
      <c r="B4" s="2" t="s">
        <v>616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6.25">
      <c r="A5" s="1" t="s">
        <v>494</v>
      </c>
      <c r="B5" s="2" t="s">
        <v>617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.95" customHeight="1">
      <c r="A9" s="3" t="s">
        <v>496</v>
      </c>
      <c r="B9" s="3" t="s">
        <v>618</v>
      </c>
      <c r="C9" s="3" t="s">
        <v>619</v>
      </c>
      <c r="D9" s="3" t="s">
        <v>620</v>
      </c>
      <c r="E9" s="3" t="s">
        <v>621</v>
      </c>
      <c r="F9" s="3" t="s">
        <v>622</v>
      </c>
      <c r="G9" s="3" t="s">
        <v>623</v>
      </c>
      <c r="H9" s="3" t="s">
        <v>503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2.75">
      <c r="A10" s="2" t="s">
        <v>504</v>
      </c>
      <c r="B10" s="2" t="s">
        <v>624</v>
      </c>
      <c r="C10" s="2" t="s">
        <v>102</v>
      </c>
      <c r="D10" s="2" t="s">
        <v>77</v>
      </c>
      <c r="E10" s="2"/>
      <c r="F10" s="2"/>
      <c r="G10" s="2" t="s">
        <v>625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2.75">
      <c r="A11" s="2" t="s">
        <v>507</v>
      </c>
      <c r="B11" s="2" t="s">
        <v>626</v>
      </c>
      <c r="C11" s="2" t="s">
        <v>280</v>
      </c>
      <c r="D11" s="2" t="s">
        <v>77</v>
      </c>
      <c r="E11" s="2"/>
      <c r="F11" s="2"/>
      <c r="G11" s="2" t="s">
        <v>627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42.75">
      <c r="A12" s="2" t="s">
        <v>511</v>
      </c>
      <c r="B12" s="2" t="s">
        <v>628</v>
      </c>
      <c r="C12" s="2" t="s">
        <v>233</v>
      </c>
      <c r="D12" s="2" t="s">
        <v>82</v>
      </c>
      <c r="E12" s="2"/>
      <c r="F12" s="2"/>
      <c r="G12" s="2" t="s">
        <v>629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42.75">
      <c r="A13" s="2" t="s">
        <v>515</v>
      </c>
      <c r="B13" s="2" t="s">
        <v>630</v>
      </c>
      <c r="C13" s="2" t="s">
        <v>102</v>
      </c>
      <c r="D13" s="2" t="s">
        <v>77</v>
      </c>
      <c r="E13" s="2" t="s">
        <v>88</v>
      </c>
      <c r="F13" s="2"/>
      <c r="G13" s="2" t="s">
        <v>631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632</v>
      </c>
      <c r="B1" s="9"/>
      <c r="C1" s="9"/>
      <c r="D1" s="9"/>
      <c r="E1" s="9"/>
      <c r="F1" s="9"/>
      <c r="G1" s="9"/>
      <c r="H1" s="9"/>
      <c r="I1" s="9"/>
      <c r="J1" s="9"/>
      <c r="K1" s="9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633</v>
      </c>
      <c r="B3" s="3" t="s">
        <v>634</v>
      </c>
      <c r="C3" s="2"/>
      <c r="D3" s="3" t="s">
        <v>102</v>
      </c>
      <c r="E3" s="3" t="s">
        <v>77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 t="s">
        <v>635</v>
      </c>
      <c r="B4" s="4">
        <f>SUM(Orders_Solution!I4:I183)</f>
        <v>815443.75</v>
      </c>
      <c r="C4" s="2"/>
      <c r="D4" s="2" t="s">
        <v>96</v>
      </c>
      <c r="E4" s="4">
        <f ca="1">SUMIFS(Orders_Solution!$I$4:$I$183,Orders_Solution!$N$4:$N$183,D4)</f>
        <v>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 t="s">
        <v>636</v>
      </c>
      <c r="B5" s="4">
        <f>SUM(Orders_Solution!J4:J183)</f>
        <v>382859.92999999993</v>
      </c>
      <c r="C5" s="2"/>
      <c r="D5" s="2" t="s">
        <v>117</v>
      </c>
      <c r="E5" s="4">
        <f ca="1">SUMIFS(Orders_Solution!$I$4:$I$183,Orders_Solution!$N$4:$N$183,D5)</f>
        <v>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 t="s">
        <v>637</v>
      </c>
      <c r="B6" s="7">
        <f>COUNTA(Orders_Solution!A4:A183)</f>
        <v>180</v>
      </c>
      <c r="C6" s="2"/>
      <c r="D6" s="2" t="s">
        <v>134</v>
      </c>
      <c r="E6" s="4">
        <f ca="1">SUMIFS(Orders_Solution!$I$4:$I$183,Orders_Solution!$N$4:$N$183,D6)</f>
        <v>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 t="s">
        <v>638</v>
      </c>
      <c r="B7" s="4">
        <f>AVERAGE(Orders_Solution!I4:I183)</f>
        <v>4530.2430555555557</v>
      </c>
      <c r="C7" s="2"/>
      <c r="D7" s="2" t="s">
        <v>111</v>
      </c>
      <c r="E7" s="4">
        <f ca="1">SUMIFS(Orders_Solution!$I$4:$I$183,Orders_Solution!$N$4:$N$183,D7)</f>
        <v>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 t="s">
        <v>581</v>
      </c>
      <c r="B8" s="7">
        <f>COUNTIFS(Orders_Solution!K4:K183,"Closed Won")</f>
        <v>102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K1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639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640</v>
      </c>
      <c r="B3" s="3" t="s">
        <v>490</v>
      </c>
      <c r="C3" s="3" t="s">
        <v>641</v>
      </c>
      <c r="D3" s="3" t="s">
        <v>642</v>
      </c>
      <c r="E3" s="3" t="s">
        <v>643</v>
      </c>
      <c r="F3" s="3" t="s">
        <v>644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">
      <c r="A4" s="2" t="s">
        <v>72</v>
      </c>
      <c r="B4" s="2" t="s">
        <v>645</v>
      </c>
      <c r="C4" s="2" t="s">
        <v>646</v>
      </c>
      <c r="D4" s="2" t="s">
        <v>647</v>
      </c>
      <c r="E4" s="2"/>
      <c r="F4" s="2" t="s">
        <v>648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8.5">
      <c r="A5" s="2" t="s">
        <v>649</v>
      </c>
      <c r="B5" s="2" t="s">
        <v>650</v>
      </c>
      <c r="C5" s="2" t="s">
        <v>651</v>
      </c>
      <c r="D5" s="2" t="s">
        <v>652</v>
      </c>
      <c r="E5" s="2"/>
      <c r="F5" s="2" t="s">
        <v>653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2.75">
      <c r="A6" s="2" t="s">
        <v>654</v>
      </c>
      <c r="B6" s="2" t="s">
        <v>655</v>
      </c>
      <c r="C6" s="2" t="s">
        <v>656</v>
      </c>
      <c r="D6" s="2" t="s">
        <v>657</v>
      </c>
      <c r="E6" s="2"/>
      <c r="F6" s="2" t="s">
        <v>658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2.75">
      <c r="A7" s="2" t="s">
        <v>659</v>
      </c>
      <c r="B7" s="2" t="s">
        <v>660</v>
      </c>
      <c r="C7" s="2" t="s">
        <v>661</v>
      </c>
      <c r="D7" s="2" t="s">
        <v>662</v>
      </c>
      <c r="E7" s="2"/>
      <c r="F7" s="2" t="s">
        <v>663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2.75">
      <c r="A8" s="2" t="s">
        <v>98</v>
      </c>
      <c r="B8" s="2" t="s">
        <v>664</v>
      </c>
      <c r="C8" s="2" t="s">
        <v>665</v>
      </c>
      <c r="D8" s="2" t="s">
        <v>666</v>
      </c>
      <c r="E8" s="2"/>
      <c r="F8" s="2" t="s">
        <v>46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F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667</v>
      </c>
      <c r="B1" s="9"/>
      <c r="C1" s="9"/>
      <c r="D1" s="9"/>
      <c r="E1" s="9"/>
      <c r="F1" s="9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668</v>
      </c>
      <c r="B3" s="3" t="s">
        <v>669</v>
      </c>
      <c r="C3" s="3" t="s">
        <v>670</v>
      </c>
      <c r="D3" s="3" t="s">
        <v>671</v>
      </c>
      <c r="E3" s="3" t="s">
        <v>672</v>
      </c>
      <c r="F3" s="3" t="s">
        <v>673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F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220"/>
  <sheetViews>
    <sheetView workbookViewId="0"/>
  </sheetViews>
  <sheetFormatPr defaultRowHeight="14.25"/>
  <cols>
    <col min="1" max="1" width="18" customWidth="1"/>
    <col min="2" max="2" width="16" customWidth="1"/>
    <col min="3" max="4" width="18" customWidth="1"/>
    <col min="5" max="5" width="16" customWidth="1"/>
    <col min="6" max="10" width="14" customWidth="1"/>
    <col min="11" max="11" width="16" customWidth="1"/>
    <col min="12" max="12" width="22" customWidth="1"/>
    <col min="13" max="14" width="14" customWidth="1"/>
    <col min="15" max="15" width="20" customWidth="1"/>
    <col min="16" max="16" width="18" customWidth="1"/>
    <col min="17" max="17" width="22" customWidth="1"/>
    <col min="18" max="18" width="16" customWidth="1"/>
    <col min="19" max="19" width="20" customWidth="1"/>
    <col min="20" max="20" width="16" customWidth="1"/>
  </cols>
  <sheetData>
    <row r="1" spans="1:26" ht="30" customHeight="1">
      <c r="A1" s="8" t="s">
        <v>674</v>
      </c>
      <c r="B1" s="9"/>
      <c r="C1" s="9"/>
      <c r="D1" s="9"/>
      <c r="E1" s="9"/>
      <c r="F1" s="9"/>
      <c r="G1" s="9"/>
      <c r="H1" s="9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7.95" customHeight="1">
      <c r="A3" s="3" t="s">
        <v>669</v>
      </c>
      <c r="B3" s="3" t="s">
        <v>675</v>
      </c>
      <c r="C3" s="3" t="s">
        <v>676</v>
      </c>
      <c r="D3" s="3" t="s">
        <v>16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2.75">
      <c r="A4" s="2" t="s">
        <v>677</v>
      </c>
      <c r="B4" s="2" t="e">
        <f ca="1">_xludf.XLOOKUP(C4,Customers!$A$4:$A$53,Customers!$B$4:$B$53,"Not found")</f>
        <v>#NAME?</v>
      </c>
      <c r="C4" s="2" t="s">
        <v>678</v>
      </c>
      <c r="D4" s="2" t="s">
        <v>679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2.75">
      <c r="A5" s="2" t="s">
        <v>680</v>
      </c>
      <c r="B5" s="2" t="e">
        <f ca="1">_xludf.XLOOKUP(D4,Products!$A$4:$A$23,Products!$B$4:$B$23,"Not found")</f>
        <v>#NAME?</v>
      </c>
      <c r="C5" s="2" t="s">
        <v>681</v>
      </c>
      <c r="D5" s="2" t="s">
        <v>682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5">
      <c r="A6" s="2" t="s">
        <v>683</v>
      </c>
      <c r="B6" s="2">
        <f ca="1">SUMIFS(Orders_Solution!$I$4:$I$183,Orders_Solution!$N$4:$N$183,"North")</f>
        <v>0</v>
      </c>
      <c r="C6" s="2" t="s">
        <v>684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8.5">
      <c r="A7" s="2" t="s">
        <v>685</v>
      </c>
      <c r="B7" s="2">
        <f>COUNTIFS(Orders_Solution!$K$4:$K$183,"Closed Won")</f>
        <v>102</v>
      </c>
      <c r="C7" s="2" t="s">
        <v>686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Welcome</vt:lpstr>
      <vt:lpstr>Data_Dictionary</vt:lpstr>
      <vt:lpstr>Customers</vt:lpstr>
      <vt:lpstr>Products</vt:lpstr>
      <vt:lpstr>Sales_Reps</vt:lpstr>
      <vt:lpstr>Orders_Practice</vt:lpstr>
      <vt:lpstr>Orders_Solution</vt:lpstr>
      <vt:lpstr>XLOOKUP_Module</vt:lpstr>
      <vt:lpstr>SUMIFS_Module</vt:lpstr>
      <vt:lpstr>COUNTIFS_Module</vt:lpstr>
      <vt:lpstr>Conditional_Formatting</vt:lpstr>
      <vt:lpstr>PivotTables_Module</vt:lpstr>
      <vt:lpstr>Executive_Dashboard</vt:lpstr>
      <vt:lpstr>Interview_Journal</vt:lpstr>
      <vt:lpstr>Reflection</vt:lpstr>
      <vt:lpstr>Answer_Key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Domonique Robinson</cp:lastModifiedBy>
  <dcterms:modified xsi:type="dcterms:W3CDTF">2026-06-18T16:32:42Z</dcterms:modified>
</cp:coreProperties>
</file>